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hared With Me\Financials\Lease Plan\"/>
    </mc:Choice>
  </mc:AlternateContent>
  <xr:revisionPtr revIDLastSave="0" documentId="13_ncr:1_{AE053B90-4A4A-441E-8926-7144F8F4610C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LP-CAM" sheetId="32" state="hidden" r:id="rId1"/>
    <sheet name="Business Profile" sheetId="24" r:id="rId2"/>
    <sheet name="CA-Check" sheetId="34" state="hidden" r:id="rId3"/>
    <sheet name="Suit-Check" sheetId="33" state="hidden" r:id="rId4"/>
    <sheet name="ROC-Check" sheetId="28" r:id="rId5"/>
    <sheet name="GST-Check" sheetId="30" r:id="rId6"/>
    <sheet name="KYC-Check" sheetId="29" r:id="rId7"/>
    <sheet name="Banking-Analysis" sheetId="26" r:id="rId8"/>
    <sheet name="rekensheet" sheetId="6" state="hidden" r:id="rId9"/>
    <sheet name="1" sheetId="9" state="hidden" r:id="rId10"/>
    <sheet name="2" sheetId="10" state="hidden" r:id="rId11"/>
    <sheet name="3" sheetId="11" state="hidden" r:id="rId12"/>
    <sheet name="4" sheetId="12" state="hidden" r:id="rId13"/>
    <sheet name="score mapping" sheetId="8" state="hidden" r:id="rId14"/>
    <sheet name="weights" sheetId="7" state="hidden" r:id="rId15"/>
    <sheet name="drop-off tables" sheetId="5" state="hidden" r:id="rId16"/>
    <sheet name="cutoffs" sheetId="2" state="hidden" r:id="rId17"/>
    <sheet name="scores" sheetId="3" state="hidden" r:id="rId18"/>
    <sheet name="points_break_down" sheetId="13" state="hidden" r:id="rId19"/>
  </sheets>
  <functionGroups builtInGroupCount="19"/>
  <definedNames>
    <definedName name="Amount">'ROC-Check'!$I$32:$I$33</definedName>
    <definedName name="AppScore">#REF!</definedName>
    <definedName name="aud_opinion">#REF!</definedName>
    <definedName name="AudOp_1">'1'!$A$62:$C$64</definedName>
    <definedName name="AudOp_2">'2'!$A$63:$C$65</definedName>
    <definedName name="AudOp_3">'3'!$A$62:$C$64</definedName>
    <definedName name="AudOp_4">'4'!$A$66:$C$68</definedName>
    <definedName name="AuthCap">'ROC-Check'!$E$10</definedName>
    <definedName name="branch_code">#REF!</definedName>
    <definedName name="CIN">'ROC-Check'!$E$3</definedName>
    <definedName name="CINStatus">'ROC-Check'!$E$22</definedName>
    <definedName name="COMNAME">'ROC-Check'!$E$4</definedName>
    <definedName name="_xlnm.Criteria">'ROC-Check'!$H$32:$H$33</definedName>
    <definedName name="date_established">#REF!</definedName>
    <definedName name="dcpd">#REF!</definedName>
    <definedName name="DD_1">'1'!$A$2:$C$7</definedName>
    <definedName name="DD_2">'2'!$A$2:$C$6</definedName>
    <definedName name="DD_3">'3'!$A$2:$C$6</definedName>
    <definedName name="DD_4">'4'!$A$2:$C$6</definedName>
    <definedName name="debtor_days">cutoffs!$A$2:$E$6</definedName>
    <definedName name="gearing">#REF!</definedName>
    <definedName name="Gearing_1">'1'!$A$8:$C$11</definedName>
    <definedName name="Gearing_2">'2'!$A$7:$C$10</definedName>
    <definedName name="Gearing_3">'3'!$A$7:$C$10</definedName>
    <definedName name="Gearing_4">'4'!$A$7:$C$11</definedName>
    <definedName name="GroupCo">#REF!</definedName>
    <definedName name="GSTIN">'GST-Check'!$E$3</definedName>
    <definedName name="GSTINStatus">'GST-Check'!$E$10</definedName>
    <definedName name="HoldingCo">#REF!</definedName>
    <definedName name="icr">#REF!</definedName>
    <definedName name="ICR_1">'1'!$A$12:$C$16</definedName>
    <definedName name="ICR_2">'2'!$A$11:$C$16</definedName>
    <definedName name="ICR_3">'3'!$A$11:$C$16</definedName>
    <definedName name="ICR_4">'4'!$A$12:$C$16</definedName>
    <definedName name="inputValues">rekensheet!$A$2:$B$14</definedName>
    <definedName name="intercept">weights!$A$2:$E$2</definedName>
    <definedName name="InvDays">rekensheet!$A$6</definedName>
    <definedName name="InvDays_1">'1'!$A$17:$C$22</definedName>
    <definedName name="InvDays_2">'2'!$A$17:$C$22</definedName>
    <definedName name="InvDays_3">'3'!$A$17:$C$22</definedName>
    <definedName name="InvDays_4">'4'!$A$17:$C$21</definedName>
    <definedName name="itpd">#REF!</definedName>
    <definedName name="net_sales">#REF!</definedName>
    <definedName name="op_margin">#REF!</definedName>
    <definedName name="OpMargin_1">'1'!$A$34:$C$39</definedName>
    <definedName name="OpMargin_2">'2'!$A$34:$C$38</definedName>
    <definedName name="OpMargin_3">'3'!$A$34:$C$39</definedName>
    <definedName name="OpMargin_4">'4'!$A$34:$C$39</definedName>
    <definedName name="PaidUp">'ROC-Check'!$E$11</definedName>
    <definedName name="PD">#REF!</definedName>
    <definedName name="quick_ratio">#REF!</definedName>
    <definedName name="QuRat_1">'1'!$A$40:$C$45</definedName>
    <definedName name="QuRat_2">'2'!$A$39:$C$44</definedName>
    <definedName name="QuRat_3">'3'!$A$40:$C$45</definedName>
    <definedName name="QuRat_4">'4'!$A$40:$C$46</definedName>
    <definedName name="Rating">#REF!</definedName>
    <definedName name="RegAdd">'ROC-Check'!$E$14</definedName>
    <definedName name="roce">#REF!</definedName>
    <definedName name="ROCE_1">'1'!$A$46:$C$50</definedName>
    <definedName name="ROCE_2">'2'!$A$45:$C$50</definedName>
    <definedName name="ROCE_3">'3'!$A$46:$C$51</definedName>
    <definedName name="ROCE_4">'4'!$A$47:$C$53</definedName>
    <definedName name="Sales_1">'1'!$A$28:$C$33</definedName>
    <definedName name="Sales_2">'2'!$A$28:$C$33</definedName>
    <definedName name="Sales_3">'3'!$A$28:$C$33</definedName>
    <definedName name="Sales_4">'4'!$A$28:$C$33</definedName>
    <definedName name="Segment">rekensheet!$B$16</definedName>
    <definedName name="solvency">#REF!</definedName>
    <definedName name="Solvency_1">'1'!$A$51:$C$56</definedName>
    <definedName name="Solvency_2">'2'!$A$51:$C$56</definedName>
    <definedName name="Solvency_3">'3'!$A$52:$C$57</definedName>
    <definedName name="Solvency_4">'4'!$A$54:$C$59</definedName>
    <definedName name="StatAge_1">'1'!$A$65:$C$68</definedName>
    <definedName name="StatAge_2">'2'!$A$66:$C$69</definedName>
    <definedName name="StatAge_3">'3'!$A$65:$C$68</definedName>
    <definedName name="StatAge_4">'4'!$A$69:$C$72</definedName>
    <definedName name="statmnt_date">#REF!</definedName>
    <definedName name="Turn_1">'1'!$A$57:$C$61</definedName>
    <definedName name="Turn_2">'2'!$A$57:$C$62</definedName>
    <definedName name="Turn_3">'3'!$A$58:$C$61</definedName>
    <definedName name="Turn_4">'4'!$A$60:$C$65</definedName>
    <definedName name="turn_growth">#REF!</definedName>
    <definedName name="weights">weights!$A$3:$E$15</definedName>
    <definedName name="YearsBus_1">'1'!$A$23:$C$27</definedName>
    <definedName name="YearsBus_2">'2'!$A$23:$C$27</definedName>
    <definedName name="YearsBus_3">'3'!$A$23:$C$27</definedName>
    <definedName name="YearsBus_4">'4'!$A$22:$C$27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" i="34" l="1"/>
  <c r="D18" i="34"/>
  <c r="D17" i="34"/>
  <c r="D16" i="34"/>
  <c r="D15" i="34"/>
  <c r="G12" i="24"/>
  <c r="D12" i="24"/>
  <c r="D62" i="24" l="1"/>
  <c r="D61" i="24"/>
  <c r="D60" i="24"/>
  <c r="D26" i="28" l="1"/>
  <c r="D47" i="24" l="1"/>
  <c r="D38" i="24"/>
  <c r="D29" i="24"/>
  <c r="E46" i="24" s="1"/>
  <c r="B16" i="6" l="1"/>
  <c r="B2" i="6" l="1"/>
  <c r="G8" i="24" l="1"/>
  <c r="G11" i="24"/>
  <c r="D11" i="24"/>
  <c r="D13" i="24"/>
  <c r="D8" i="24"/>
  <c r="G9" i="24"/>
  <c r="E27" i="28" l="1"/>
  <c r="D27" i="28"/>
  <c r="E26" i="28"/>
  <c r="G13" i="28"/>
  <c r="E28" i="28" l="1"/>
  <c r="D28" i="28"/>
  <c r="E45" i="24"/>
  <c r="E44" i="24"/>
  <c r="E43" i="24"/>
  <c r="E42" i="24"/>
  <c r="E41" i="24"/>
  <c r="E37" i="24"/>
  <c r="E36" i="24"/>
  <c r="E35" i="24"/>
  <c r="E34" i="24"/>
  <c r="E33" i="24"/>
  <c r="E32" i="24"/>
  <c r="E28" i="24"/>
  <c r="E24" i="24"/>
  <c r="E25" i="24"/>
  <c r="E26" i="24"/>
  <c r="E27" i="24"/>
  <c r="E23" i="24"/>
  <c r="E47" i="24" l="1"/>
  <c r="E38" i="24"/>
  <c r="E29" i="24"/>
  <c r="D59" i="24" l="1"/>
  <c r="D58" i="24"/>
  <c r="B2" i="13" l="1"/>
  <c r="E21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D24" i="9"/>
  <c r="D25" i="9"/>
  <c r="D26" i="9"/>
  <c r="D23" i="9"/>
  <c r="D23" i="12"/>
  <c r="D24" i="12"/>
  <c r="D25" i="12"/>
  <c r="D26" i="12"/>
  <c r="D22" i="12"/>
  <c r="B18" i="6"/>
  <c r="B19" i="6" s="1"/>
  <c r="G5" i="13" l="1"/>
  <c r="G9" i="13"/>
  <c r="G13" i="13"/>
  <c r="G3" i="13"/>
  <c r="G7" i="13"/>
  <c r="G11" i="13"/>
  <c r="G15" i="13"/>
  <c r="G4" i="13"/>
  <c r="G8" i="13"/>
  <c r="G12" i="13"/>
  <c r="E22" i="13"/>
  <c r="G2" i="13" s="1"/>
  <c r="G6" i="13"/>
  <c r="G10" i="13"/>
  <c r="G14" i="13"/>
  <c r="E17" i="13"/>
  <c r="E20" i="13" s="1"/>
  <c r="E24" i="13" s="1"/>
  <c r="B20" i="6"/>
  <c r="D7" i="6"/>
  <c r="B7" i="6"/>
  <c r="H18" i="13" l="1"/>
  <c r="G20" i="13"/>
  <c r="G24" i="13" s="1"/>
  <c r="I18" i="13"/>
  <c r="B14" i="6"/>
  <c r="B8" i="6"/>
  <c r="B3" i="6" l="1"/>
  <c r="B4" i="6" l="1"/>
  <c r="B6" i="6"/>
  <c r="B10" i="6" l="1"/>
  <c r="B9" i="6"/>
  <c r="B11" i="6"/>
  <c r="B12" i="6" l="1"/>
  <c r="B5" i="6"/>
  <c r="B13" i="6" l="1"/>
</calcChain>
</file>

<file path=xl/sharedStrings.xml><?xml version="1.0" encoding="utf-8"?>
<sst xmlns="http://schemas.openxmlformats.org/spreadsheetml/2006/main" count="891" uniqueCount="426">
  <si>
    <t>Branch code</t>
  </si>
  <si>
    <t>ind_index</t>
  </si>
  <si>
    <t>debt_days_missing_q</t>
  </si>
  <si>
    <t>debt_days_q1</t>
  </si>
  <si>
    <t>debt_days_q2</t>
  </si>
  <si>
    <t>debt_days_q3</t>
  </si>
  <si>
    <t>debt_days_q4</t>
  </si>
  <si>
    <t>gearing_missing_q</t>
  </si>
  <si>
    <t>gearing_q1</t>
  </si>
  <si>
    <t>gearing_q2</t>
  </si>
  <si>
    <t>gearing_q3</t>
  </si>
  <si>
    <t>int_cover_missing_q</t>
  </si>
  <si>
    <t>int_cover_q1</t>
  </si>
  <si>
    <t>int_cover_q2</t>
  </si>
  <si>
    <t>int_cover_q3</t>
  </si>
  <si>
    <t>int_cover_q4</t>
  </si>
  <si>
    <t>inv_days_missing_q</t>
  </si>
  <si>
    <t>inv_days_q1</t>
  </si>
  <si>
    <t>inv_days_q2</t>
  </si>
  <si>
    <t>inv_days_q3</t>
  </si>
  <si>
    <t>inv_days_q4</t>
  </si>
  <si>
    <t>ln_yb_q1</t>
  </si>
  <si>
    <t>ln_yb_q2</t>
  </si>
  <si>
    <t>ln_yb_q3</t>
  </si>
  <si>
    <t>ln_yb_q4</t>
  </si>
  <si>
    <t>ln_yb_q5</t>
  </si>
  <si>
    <t>net_sales_missing_q</t>
  </si>
  <si>
    <t>net_sales_q1</t>
  </si>
  <si>
    <t>net_sales_q2</t>
  </si>
  <si>
    <t>net_sales_q3</t>
  </si>
  <si>
    <t>net_sales_q4</t>
  </si>
  <si>
    <t>op_margin_missing_q</t>
  </si>
  <si>
    <t>op_margin_q1</t>
  </si>
  <si>
    <t>op_margin_q2</t>
  </si>
  <si>
    <t>op_margin_q3</t>
  </si>
  <si>
    <t>op_margin_q4</t>
  </si>
  <si>
    <t>quick_ratio_missing_q</t>
  </si>
  <si>
    <t>quick_ratio_q1</t>
  </si>
  <si>
    <t>quick_ratio_q2</t>
  </si>
  <si>
    <t>quick_ratio_q3</t>
  </si>
  <si>
    <t>quick_ratio_q4</t>
  </si>
  <si>
    <t>quick_ratio_q5</t>
  </si>
  <si>
    <t>roce_missing_q</t>
  </si>
  <si>
    <t>roce_q1</t>
  </si>
  <si>
    <t>roce_q2</t>
  </si>
  <si>
    <t>roce_q3</t>
  </si>
  <si>
    <t>roce_q4</t>
  </si>
  <si>
    <t>roce_q5</t>
  </si>
  <si>
    <t>solv_ratio_missing_q</t>
  </si>
  <si>
    <t>solv_ratio_q1</t>
  </si>
  <si>
    <t>solv_ratio_q2</t>
  </si>
  <si>
    <t>solv_ratio_q3</t>
  </si>
  <si>
    <t>solv_ratio_q4</t>
  </si>
  <si>
    <t>turnover_missing_q</t>
  </si>
  <si>
    <t>turnover_q1</t>
  </si>
  <si>
    <t>turnover_q2</t>
  </si>
  <si>
    <t>turnover_q3</t>
  </si>
  <si>
    <t>turnover_q4</t>
  </si>
  <si>
    <t>debt_days_missing_w</t>
  </si>
  <si>
    <t>debt_days_w1</t>
  </si>
  <si>
    <t>debt_days_w2</t>
  </si>
  <si>
    <t>debt_days_w3</t>
  </si>
  <si>
    <t>debt_days_w4</t>
  </si>
  <si>
    <t>debt_days_w5</t>
  </si>
  <si>
    <t>gearing_missing_w</t>
  </si>
  <si>
    <t>gearing_w1</t>
  </si>
  <si>
    <t>gearing_w2</t>
  </si>
  <si>
    <t>gearing_w3</t>
  </si>
  <si>
    <t>gearing_w4</t>
  </si>
  <si>
    <t>int_cover_missing_w</t>
  </si>
  <si>
    <t>int_cover_w1</t>
  </si>
  <si>
    <t>int_cover_w2</t>
  </si>
  <si>
    <t>int_cover_w3</t>
  </si>
  <si>
    <t>int_cover_w4</t>
  </si>
  <si>
    <t>int_cover_w5</t>
  </si>
  <si>
    <t>inv_days_missing_w</t>
  </si>
  <si>
    <t>inv_days_w1</t>
  </si>
  <si>
    <t>inv_days_w2</t>
  </si>
  <si>
    <t>inv_days_w3</t>
  </si>
  <si>
    <t>inv_days_w4</t>
  </si>
  <si>
    <t>inv_days_w5</t>
  </si>
  <si>
    <t>ln_yb_w1</t>
  </si>
  <si>
    <t>ln_yb_w2</t>
  </si>
  <si>
    <t>ln_yb_w3</t>
  </si>
  <si>
    <t>ln_yb_w4</t>
  </si>
  <si>
    <t>ln_yb_w5</t>
  </si>
  <si>
    <t>ln_yb_w6</t>
  </si>
  <si>
    <t>net_sales_missing_w</t>
  </si>
  <si>
    <t>net_sales_w1</t>
  </si>
  <si>
    <t>net_sales_w2</t>
  </si>
  <si>
    <t>net_sales_w3</t>
  </si>
  <si>
    <t>net_sales_w4</t>
  </si>
  <si>
    <t>net_sales_w5</t>
  </si>
  <si>
    <t>op_margin_missing_w</t>
  </si>
  <si>
    <t>op_margin_w1</t>
  </si>
  <si>
    <t>op_margin_w2</t>
  </si>
  <si>
    <t>op_margin_w3</t>
  </si>
  <si>
    <t>op_margin_w4</t>
  </si>
  <si>
    <t>op_margin_w5</t>
  </si>
  <si>
    <t>quick_ratio_missing_w</t>
  </si>
  <si>
    <t>quick_ratio_w1</t>
  </si>
  <si>
    <t>quick_ratio_w2</t>
  </si>
  <si>
    <t>quick_ratio_w3</t>
  </si>
  <si>
    <t>quick_ratio_w4</t>
  </si>
  <si>
    <t>quick_ratio_w5</t>
  </si>
  <si>
    <t>quick_ratio_w6</t>
  </si>
  <si>
    <t>roce_missing_w</t>
  </si>
  <si>
    <t>roce_w1</t>
  </si>
  <si>
    <t>roce_w2</t>
  </si>
  <si>
    <t>roce_w3</t>
  </si>
  <si>
    <t>roce_w4</t>
  </si>
  <si>
    <t>roce_w5</t>
  </si>
  <si>
    <t>roce_w6</t>
  </si>
  <si>
    <t>solv_ratio_missing_w</t>
  </si>
  <si>
    <t>solv_ratio_w1</t>
  </si>
  <si>
    <t>solv_ratio_w2</t>
  </si>
  <si>
    <t>solv_ratio_w3</t>
  </si>
  <si>
    <t>solv_ratio_w4</t>
  </si>
  <si>
    <t>solv_ratio_w5</t>
  </si>
  <si>
    <t>turnover_missing_w</t>
  </si>
  <si>
    <t>turnover_w1</t>
  </si>
  <si>
    <t>turnover_w2</t>
  </si>
  <si>
    <t>turnover_w3</t>
  </si>
  <si>
    <t>turnover_w4</t>
  </si>
  <si>
    <t>turnover_w5</t>
  </si>
  <si>
    <t>Auditor's opinion</t>
  </si>
  <si>
    <t>Segment 1</t>
  </si>
  <si>
    <t>Segment 2</t>
  </si>
  <si>
    <t>Segment 3</t>
  </si>
  <si>
    <t>Segment 4</t>
  </si>
  <si>
    <t>Unqualified</t>
  </si>
  <si>
    <t>Material Qualification</t>
  </si>
  <si>
    <t>No opinion / Unknown</t>
  </si>
  <si>
    <t>Initial rating</t>
  </si>
  <si>
    <t>2A</t>
  </si>
  <si>
    <t>2B</t>
  </si>
  <si>
    <t>2C</t>
  </si>
  <si>
    <t>3A</t>
  </si>
  <si>
    <t>3B</t>
  </si>
  <si>
    <t>3C</t>
  </si>
  <si>
    <t>4A</t>
  </si>
  <si>
    <t>4B</t>
  </si>
  <si>
    <t>4C</t>
  </si>
  <si>
    <t>5A</t>
  </si>
  <si>
    <t>5B</t>
  </si>
  <si>
    <t>5C</t>
  </si>
  <si>
    <t>6A</t>
  </si>
  <si>
    <t>PD</t>
  </si>
  <si>
    <t xml:space="preserve"> Intercept </t>
  </si>
  <si>
    <t>ICR</t>
  </si>
  <si>
    <t>ROCE</t>
  </si>
  <si>
    <t>Segment</t>
  </si>
  <si>
    <t>Maximum score (inclusive)</t>
  </si>
  <si>
    <t>Minimum score (exclusive)</t>
  </si>
  <si>
    <t>input</t>
  </si>
  <si>
    <t>score</t>
  </si>
  <si>
    <t>weight</t>
  </si>
  <si>
    <t>DD</t>
  </si>
  <si>
    <t>InvDays</t>
  </si>
  <si>
    <t>YearsBus</t>
  </si>
  <si>
    <t>Sales</t>
  </si>
  <si>
    <t>OpMargin</t>
  </si>
  <si>
    <t>QuRat</t>
  </si>
  <si>
    <t>Solvency</t>
  </si>
  <si>
    <t>StatAge</t>
  </si>
  <si>
    <t>Turn</t>
  </si>
  <si>
    <t>aud_opinion_q1</t>
  </si>
  <si>
    <t>aud_opinion_q2</t>
  </si>
  <si>
    <t>aud_opinion_q3</t>
  </si>
  <si>
    <t>AudOp</t>
  </si>
  <si>
    <t>aud_opinion_w1</t>
  </si>
  <si>
    <t>aud_opinion_w2</t>
  </si>
  <si>
    <t>aud_opinion_w3</t>
  </si>
  <si>
    <t>stat_age_w1</t>
  </si>
  <si>
    <t>stat_age_w2</t>
  </si>
  <si>
    <t>stat_age_w3</t>
  </si>
  <si>
    <t>stat_age_w4</t>
  </si>
  <si>
    <t>stat_age_q1</t>
  </si>
  <si>
    <t>stat_age_q2</t>
  </si>
  <si>
    <t>stat_age_q3</t>
  </si>
  <si>
    <t>CRM</t>
  </si>
  <si>
    <t>Liability statement</t>
  </si>
  <si>
    <t>Letter of comfort</t>
  </si>
  <si>
    <t>cutoffs</t>
  </si>
  <si>
    <t>scores</t>
  </si>
  <si>
    <t>Gearing</t>
  </si>
  <si>
    <t>Rating Init</t>
  </si>
  <si>
    <t>Rating Incl CRM</t>
  </si>
  <si>
    <t>Guarantee</t>
  </si>
  <si>
    <t>Company name matches group name</t>
  </si>
  <si>
    <t>No CRM</t>
  </si>
  <si>
    <t>1.AGRICULTURAL PRODUCTION – CROPS</t>
  </si>
  <si>
    <t>2.AGRICULTURAL PRODUCTION – LIVESTOCK</t>
  </si>
  <si>
    <t>7.AGRICULTURAL SERVICES</t>
  </si>
  <si>
    <t>8.FORESTRY</t>
  </si>
  <si>
    <t>9.FISHING, HUNTING AND TRAPPING</t>
  </si>
  <si>
    <t>10.METAL MINING</t>
  </si>
  <si>
    <t>12.BITUMINOUS COAL AND LIGNITE MINING</t>
  </si>
  <si>
    <t>13.OIL AND GAS EXTRACTION</t>
  </si>
  <si>
    <t>14.NONMETALLIC MINERALS, EXCEPT FUELS</t>
  </si>
  <si>
    <t>15.GENERAL BUILDING CONTRACTORS</t>
  </si>
  <si>
    <t>16.HEAVY CONSTRUCTION, EX. BUILDING</t>
  </si>
  <si>
    <t>17.SPECIAL TRADE CONTRACTORS</t>
  </si>
  <si>
    <t>20.FOOD AND KINDRED PRODUCTS</t>
  </si>
  <si>
    <t>21.TOBACCO MANUFACTURERS</t>
  </si>
  <si>
    <t>22.TEXTILE MILL PRODUCTS</t>
  </si>
  <si>
    <t>23.APPAREL AND OTHER TEXTILE PRODUCTS</t>
  </si>
  <si>
    <t>24.LUMBER AND WOOD PRODUCTS</t>
  </si>
  <si>
    <t>25.FURNITURE AND FIXTURES</t>
  </si>
  <si>
    <t>26.PAPER AND ALLIED PRODUCTS</t>
  </si>
  <si>
    <t>27.PRINTING AND PUBLISHING</t>
  </si>
  <si>
    <t>28.CHEMICALS AND ALLIED PRODUCTS</t>
  </si>
  <si>
    <t>29.PETROLEUM AND COAL PRODUCTS</t>
  </si>
  <si>
    <t>30.RUBBER AND MISC. PLASTICS PRODUCTS</t>
  </si>
  <si>
    <t>31.LEATHER AND LEATHER PRODUCTS</t>
  </si>
  <si>
    <t>32.STONE, CLAY AND GLASS PRODUCTS</t>
  </si>
  <si>
    <t>33.PRIMARY METAL INDUSTRIES</t>
  </si>
  <si>
    <t>34.FABRICATED METAL PRODUCTS</t>
  </si>
  <si>
    <t xml:space="preserve">35.INDUSTRIAL MACHINERY AND EQUIPMENT </t>
  </si>
  <si>
    <t>36.ELECTRONIC &amp; OTHER ELECTRICAL EQUIPMENT</t>
  </si>
  <si>
    <t xml:space="preserve">37.TRANSPORTATION EQUIPMENT </t>
  </si>
  <si>
    <t>38.INSTRUMENTS AND RELATED PRODUCTS</t>
  </si>
  <si>
    <t xml:space="preserve">39.MISCELLANEOUS MANUFACTURING INDUSTRIES </t>
  </si>
  <si>
    <t xml:space="preserve">40.RAILROAD TRANSPORTATION </t>
  </si>
  <si>
    <t>41.LOCAL AND INTERURBAN PASSANGER TRANSIT</t>
  </si>
  <si>
    <t xml:space="preserve">42.TRUCKING AND WAREHOUSING </t>
  </si>
  <si>
    <t xml:space="preserve">43.U.S. POSTAL SERVICE </t>
  </si>
  <si>
    <t xml:space="preserve">44.WATER TRANSPORTATION </t>
  </si>
  <si>
    <t xml:space="preserve">45.TRANSPORTATION BY AIR </t>
  </si>
  <si>
    <t xml:space="preserve">46.PIPELINES, EXCEPT NATURAL GAS </t>
  </si>
  <si>
    <t xml:space="preserve">47.TRANSPORTATION SERVICES </t>
  </si>
  <si>
    <t xml:space="preserve">48. COMMUNICATIONS </t>
  </si>
  <si>
    <t xml:space="preserve">49.ELECTRIC, GAS, AND SANITARY SERVICES </t>
  </si>
  <si>
    <t xml:space="preserve">50.WHOLESALE TRADE-DURABLE GOODS </t>
  </si>
  <si>
    <t xml:space="preserve">51.WHOLESALE TRADE-NON-DURABLE GOODS </t>
  </si>
  <si>
    <t>52.BUILDING MATERIALS AND, GARDEN SUPPLIES</t>
  </si>
  <si>
    <t xml:space="preserve">53.GENERAL MERCHANDISE STORES </t>
  </si>
  <si>
    <t xml:space="preserve">54.FOOD STORES </t>
  </si>
  <si>
    <t xml:space="preserve">55.AUTOMOTIVE DEALERS AND SERVICE STATIONS </t>
  </si>
  <si>
    <t xml:space="preserve">56.APPAREL AND ACCESSORY STORES </t>
  </si>
  <si>
    <t xml:space="preserve">57.HOME FURNITURE &amp; FURNISHINGS STORES </t>
  </si>
  <si>
    <t xml:space="preserve">58.EATING AND DRINKING PLACES </t>
  </si>
  <si>
    <t xml:space="preserve">59.MISCELLANEOUS RETAIL </t>
  </si>
  <si>
    <t xml:space="preserve">60.DEPOSITORY INSTITUTIONS </t>
  </si>
  <si>
    <t xml:space="preserve">61.NON-DEPOSITORY CREDIT INSTITUTIONS </t>
  </si>
  <si>
    <t xml:space="preserve">62.SECURITY AND COMMODITY BROKERS, DEALERS, EXCHANGES </t>
  </si>
  <si>
    <t xml:space="preserve">63.INSURANCE CARRIERS </t>
  </si>
  <si>
    <t xml:space="preserve">64.INSURANCE AGENTS, BROKERS, AND SERVICE </t>
  </si>
  <si>
    <t xml:space="preserve">65.REAL ESTATE </t>
  </si>
  <si>
    <t xml:space="preserve">67.HOLDING AND OTHER INVESTMENT OFFICES </t>
  </si>
  <si>
    <t xml:space="preserve">70.HOTELS AND OTHER LODGING PLACES </t>
  </si>
  <si>
    <t xml:space="preserve">72.PERSONAL SERVICES </t>
  </si>
  <si>
    <t xml:space="preserve">73.BUSINESS SERVICES </t>
  </si>
  <si>
    <t xml:space="preserve">75.AUTOMOTIVE REPAIR, SERVICES, AND PARKING </t>
  </si>
  <si>
    <t xml:space="preserve">76.MISCELLANEOUS REPAIR SERVICES </t>
  </si>
  <si>
    <t xml:space="preserve">78.MOTION PICTURES </t>
  </si>
  <si>
    <t xml:space="preserve">79.AMUSEMENT AND RECREATION SERVICES </t>
  </si>
  <si>
    <t xml:space="preserve">80.HEALTH SERVICES </t>
  </si>
  <si>
    <t xml:space="preserve">81.LEGAL SERVICES </t>
  </si>
  <si>
    <t xml:space="preserve">82.EDUCATIONAL SERVICES </t>
  </si>
  <si>
    <t xml:space="preserve">83.SOCIAL SERVICES </t>
  </si>
  <si>
    <t xml:space="preserve">84.MUSEUMS, BOTANICAL AND ZOOLOGICAL GARDENS </t>
  </si>
  <si>
    <t xml:space="preserve">86.MEMBERSHIP ORGANIZATIONS </t>
  </si>
  <si>
    <t>87.ENGINEERING, ACCOUNTING, RESEARCH, MANAGEMENT SERVICES</t>
  </si>
  <si>
    <t xml:space="preserve">88.PRIVATE HOUSEHOLDS </t>
  </si>
  <si>
    <t>89.SERVICES</t>
  </si>
  <si>
    <t>Group funding &gt; 25% of the balance sheet total</t>
  </si>
  <si>
    <t>Driver</t>
  </si>
  <si>
    <t>Score</t>
  </si>
  <si>
    <t>Weight</t>
  </si>
  <si>
    <t>Raw score</t>
  </si>
  <si>
    <t>Factor</t>
  </si>
  <si>
    <t>Offset</t>
  </si>
  <si>
    <t>Input Value</t>
  </si>
  <si>
    <t>Model constant</t>
  </si>
  <si>
    <t>Total score contribution (points)</t>
  </si>
  <si>
    <t>+ points</t>
  </si>
  <si>
    <t>- points</t>
  </si>
  <si>
    <t>Rating score</t>
  </si>
  <si>
    <t>Date of Incorporation</t>
  </si>
  <si>
    <t>Constitution</t>
  </si>
  <si>
    <t>Agency</t>
  </si>
  <si>
    <t>Source</t>
  </si>
  <si>
    <t>Address</t>
  </si>
  <si>
    <t>PAN</t>
  </si>
  <si>
    <t>DL</t>
  </si>
  <si>
    <t>Voter ID</t>
  </si>
  <si>
    <t>Remarks</t>
  </si>
  <si>
    <t>Total</t>
  </si>
  <si>
    <t>Status</t>
  </si>
  <si>
    <t>Vintage</t>
  </si>
  <si>
    <t>Business Details</t>
  </si>
  <si>
    <t>Shareholding Pattern</t>
  </si>
  <si>
    <t>Website</t>
  </si>
  <si>
    <t>Loan Details</t>
  </si>
  <si>
    <t>Date</t>
  </si>
  <si>
    <t>Credit Rating</t>
  </si>
  <si>
    <t>Sl. No</t>
  </si>
  <si>
    <t>Google Search</t>
  </si>
  <si>
    <t>Business Profile</t>
  </si>
  <si>
    <t>Nature of Business</t>
  </si>
  <si>
    <t>Case Name</t>
  </si>
  <si>
    <t>Name as per document</t>
  </si>
  <si>
    <t>Name as per NSDL database</t>
  </si>
  <si>
    <t>Name as per PAN document</t>
  </si>
  <si>
    <t>LP Reference ID</t>
  </si>
  <si>
    <t>NC Reference ID</t>
  </si>
  <si>
    <t>CA Membership No.</t>
  </si>
  <si>
    <t>Name as per ICAI database</t>
  </si>
  <si>
    <t>Verified on</t>
  </si>
  <si>
    <t>CIN</t>
  </si>
  <si>
    <t>Registered Address</t>
  </si>
  <si>
    <t>Authorised Capital (Rs)</t>
  </si>
  <si>
    <t>Paid up Capital (Rs)</t>
  </si>
  <si>
    <t>Holding Company</t>
  </si>
  <si>
    <t>Report Date:</t>
  </si>
  <si>
    <t>Rating Rationale</t>
  </si>
  <si>
    <t>Credit Rating Long term:</t>
  </si>
  <si>
    <t>Credit Rating Short term:</t>
  </si>
  <si>
    <t>Authorised Capital</t>
  </si>
  <si>
    <t>Paid up Capital</t>
  </si>
  <si>
    <t>Name</t>
  </si>
  <si>
    <t>No. of Shares</t>
  </si>
  <si>
    <t>% of Holding</t>
  </si>
  <si>
    <t>No. of Debentures</t>
  </si>
  <si>
    <t>Preference Shareholders</t>
  </si>
  <si>
    <t>Equity Shareholders</t>
  </si>
  <si>
    <t>Debentures Holders</t>
  </si>
  <si>
    <t>GSTIN</t>
  </si>
  <si>
    <t>Individual Verification</t>
  </si>
  <si>
    <t>Firm / Company Name</t>
  </si>
  <si>
    <t>No. of Individuals</t>
  </si>
  <si>
    <t>Individual Name</t>
  </si>
  <si>
    <t>DIN</t>
  </si>
  <si>
    <t>Document</t>
  </si>
  <si>
    <t>Name as per Document</t>
  </si>
  <si>
    <t>ID No.</t>
  </si>
  <si>
    <t>Name as per Database</t>
  </si>
  <si>
    <t>DOB / Age</t>
  </si>
  <si>
    <t>Issued Date</t>
  </si>
  <si>
    <t>Company Profile</t>
  </si>
  <si>
    <t xml:space="preserve">CIN </t>
  </si>
  <si>
    <t>Company Name</t>
  </si>
  <si>
    <t>ROC Code</t>
  </si>
  <si>
    <t>Registration Number</t>
  </si>
  <si>
    <t>Company Category</t>
  </si>
  <si>
    <t>Company SubCategory</t>
  </si>
  <si>
    <t xml:space="preserve">Class of Company </t>
  </si>
  <si>
    <t>Number of Members(If Co. w/o Share Capital)</t>
  </si>
  <si>
    <t>Vintage:</t>
  </si>
  <si>
    <t xml:space="preserve">Registered Address </t>
  </si>
  <si>
    <t>Address other than R/o where all or any books of account and papers are maintained</t>
  </si>
  <si>
    <t>Email Id</t>
  </si>
  <si>
    <t>Whether Listed or not</t>
  </si>
  <si>
    <t>Suspended at stock exchange</t>
  </si>
  <si>
    <t>Date of last AGM</t>
  </si>
  <si>
    <t>Date of Balance Sheet</t>
  </si>
  <si>
    <t>Company Status(for efiling)</t>
  </si>
  <si>
    <t>Active Loans</t>
  </si>
  <si>
    <t>Closed Loans</t>
  </si>
  <si>
    <t>Charges Registered</t>
  </si>
  <si>
    <t>SRN</t>
  </si>
  <si>
    <t>Charge Id</t>
  </si>
  <si>
    <t>Charge Holder Name</t>
  </si>
  <si>
    <t>Date of Creation</t>
  </si>
  <si>
    <t>Date of Modification</t>
  </si>
  <si>
    <t>Date of Satisfaction</t>
  </si>
  <si>
    <t>Amount</t>
  </si>
  <si>
    <t>Signatory / Director Details</t>
  </si>
  <si>
    <t>Position</t>
  </si>
  <si>
    <t>Registration Date</t>
  </si>
  <si>
    <t>DSC Registered</t>
  </si>
  <si>
    <t>Expiry Date</t>
  </si>
  <si>
    <t>Goods &amp; Service Tax</t>
  </si>
  <si>
    <t>GSTIN/UIN</t>
  </si>
  <si>
    <t>Legal Name of Business</t>
  </si>
  <si>
    <t>Centre Jurisdiction</t>
  </si>
  <si>
    <t>State Jurisdiction</t>
  </si>
  <si>
    <t>Date of registration</t>
  </si>
  <si>
    <t>Constitution of Business</t>
  </si>
  <si>
    <t>Taxpayer Type</t>
  </si>
  <si>
    <t>GSTIN / UIN Status</t>
  </si>
  <si>
    <t>Date of Cancellation</t>
  </si>
  <si>
    <t>Return Type</t>
  </si>
  <si>
    <t>Financial Year</t>
  </si>
  <si>
    <t>Tax Period</t>
  </si>
  <si>
    <t>Date of filing</t>
  </si>
  <si>
    <t>Parent / Group Company</t>
  </si>
  <si>
    <t>NC Insights</t>
  </si>
  <si>
    <t>•</t>
  </si>
  <si>
    <t>Banking Analysis</t>
  </si>
  <si>
    <t>Account No.</t>
  </si>
  <si>
    <t>Account Type</t>
  </si>
  <si>
    <t>Account Holder Name</t>
  </si>
  <si>
    <t>Bank Name</t>
  </si>
  <si>
    <t>Rating-o-Meter</t>
  </si>
  <si>
    <t>NC Score</t>
  </si>
  <si>
    <t>Quality Score</t>
  </si>
  <si>
    <t>Transactions Score</t>
  </si>
  <si>
    <t>Wilful Defaulter</t>
  </si>
  <si>
    <t>Associated Companies/LLP's</t>
  </si>
  <si>
    <t>CA Membership Status</t>
  </si>
  <si>
    <t>UIN/DIN</t>
  </si>
  <si>
    <t>ACTIVE compliance</t>
  </si>
  <si>
    <t>Location</t>
  </si>
  <si>
    <t>NCLT</t>
  </si>
  <si>
    <t>Bench</t>
  </si>
  <si>
    <t>Court</t>
  </si>
  <si>
    <t>Case No.</t>
  </si>
  <si>
    <t>Purpose</t>
  </si>
  <si>
    <t>Section</t>
  </si>
  <si>
    <t>Name of Parties</t>
  </si>
  <si>
    <t>Bank</t>
  </si>
  <si>
    <t>Branch</t>
  </si>
  <si>
    <t>Quarter</t>
  </si>
  <si>
    <t>Borrower Name</t>
  </si>
  <si>
    <t>Director Name--DIN no. Detail</t>
  </si>
  <si>
    <t xml:space="preserve"> </t>
  </si>
  <si>
    <t>OutStanding Amt (Rs. in Lacs)</t>
  </si>
  <si>
    <t>Firm Name</t>
  </si>
  <si>
    <t>Firm ID</t>
  </si>
  <si>
    <t>Regd Location</t>
  </si>
  <si>
    <t>Other Locations</t>
  </si>
  <si>
    <t>ID</t>
  </si>
  <si>
    <t>CA Firms</t>
  </si>
  <si>
    <t>Members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</si>
</sst>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₹&quot;\ #,##0;&quot;₹&quot;\ \-#,##0"/>
    <numFmt numFmtId="164" formatCode="_-* #,##0.00_-;\-* #,##0.00_-;_-* &quot;-&quot;??_-;_-@_-"/>
    <numFmt numFmtId="165" formatCode="_-* #,##0.00_-;_-* #,##0.00\-;_-* &quot;-&quot;??_-;_-@_-"/>
    <numFmt numFmtId="166" formatCode="_-* #,##0_-;_-* #,##0\-;_-* &quot;-&quot;??_-;_-@_-"/>
    <numFmt numFmtId="167" formatCode="_-* #,##0.0000_-;\-* #,##0.0000_-;_-* &quot;-&quot;??_-;_-@_-"/>
    <numFmt numFmtId="168" formatCode="_-* #,##0.00000_-;\-* #,##0.00000_-;_-* &quot;-&quot;??_-;_-@_-"/>
    <numFmt numFmtId="169" formatCode="_-* #,##0.000_-;_-* #,##0.000\-;_-* &quot;-&quot;??_-;_-@_-"/>
    <numFmt numFmtId="170" formatCode="&quot;₹&quot;\ #,##0;&quot;₹&quot;\ \-#,##0;\-"/>
    <numFmt numFmtId="171" formatCode="\ ##0;\-##0;\-"/>
    <numFmt numFmtId="172" formatCode="0%;\-0%;\-"/>
    <numFmt numFmtId="173" formatCode="General;General;\-"/>
    <numFmt numFmtId="174" formatCode="_-* dd/mm/yyyy\ hh:mm;\-*dd/mm/yyyy\ hh:mm;\-"/>
    <numFmt numFmtId="175" formatCode="\ ##,##0;\-##,##0;\-"/>
  </numFmts>
  <fonts count="3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MS Sans Serif"/>
      <family val="2"/>
    </font>
    <font>
      <b/>
      <sz val="11"/>
      <color theme="6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2"/>
      <color rgb="FF000000"/>
      <name val="Verdana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4"/>
      <color rgb="FFFFFFFF"/>
      <name val="Arial"/>
      <family val="2"/>
    </font>
    <font>
      <sz val="11"/>
      <color rgb="FF333333"/>
      <name val="Arial"/>
      <family val="2"/>
    </font>
    <font>
      <u/>
      <sz val="11"/>
      <color theme="10"/>
      <name val="Arial"/>
      <family val="2"/>
    </font>
    <font>
      <b/>
      <sz val="10"/>
      <color theme="0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b/>
      <sz val="13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4"/>
      <color theme="0"/>
      <name val="Arial"/>
      <family val="2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4" fillId="0" borderId="0"/>
    <xf numFmtId="0" fontId="3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3" fillId="0" borderId="0"/>
    <xf numFmtId="164" fontId="12" fillId="0" borderId="0" applyFont="0" applyFill="0" applyBorder="0" applyAlignment="0" applyProtection="0"/>
    <xf numFmtId="0" fontId="18" fillId="0" borderId="0" applyNumberFormat="0" applyBorder="0" applyProtection="0">
      <alignment vertical="top" wrapText="1"/>
    </xf>
    <xf numFmtId="0" fontId="19" fillId="0" borderId="0" applyNumberFormat="0" applyFill="0" applyBorder="0" applyAlignment="0" applyProtection="0"/>
    <xf numFmtId="0" fontId="3" fillId="0" borderId="0"/>
    <xf numFmtId="0" fontId="21" fillId="0" borderId="0"/>
    <xf numFmtId="0" fontId="3" fillId="0" borderId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" fillId="0" borderId="0"/>
    <xf numFmtId="0" fontId="12" fillId="0" borderId="0"/>
  </cellStyleXfs>
  <cellXfs count="363">
    <xf numFmtId="0" fontId="0" fillId="0" borderId="0" xfId="0"/>
    <xf numFmtId="0" fontId="2" fillId="0" borderId="0" xfId="0" applyFont="1"/>
    <xf numFmtId="0" fontId="4" fillId="0" borderId="0" xfId="1"/>
    <xf numFmtId="0" fontId="4" fillId="0" borderId="0" xfId="1" quotePrefix="1"/>
    <xf numFmtId="0" fontId="4" fillId="0" borderId="0" xfId="6"/>
    <xf numFmtId="0" fontId="4" fillId="0" borderId="0" xfId="6" quotePrefix="1"/>
    <xf numFmtId="166" fontId="2" fillId="0" borderId="0" xfId="10" applyNumberFormat="1" applyFont="1"/>
    <xf numFmtId="165" fontId="2" fillId="0" borderId="0" xfId="10" applyFont="1"/>
    <xf numFmtId="0" fontId="0" fillId="2" borderId="12" xfId="0" applyFill="1" applyBorder="1"/>
    <xf numFmtId="0" fontId="0" fillId="0" borderId="9" xfId="0" applyBorder="1"/>
    <xf numFmtId="0" fontId="8" fillId="0" borderId="11" xfId="0" applyFont="1" applyBorder="1"/>
    <xf numFmtId="0" fontId="7" fillId="0" borderId="10" xfId="0" applyFont="1" applyBorder="1" applyAlignment="1">
      <alignment horizontal="right"/>
    </xf>
    <xf numFmtId="0" fontId="8" fillId="0" borderId="12" xfId="0" applyFont="1" applyBorder="1" applyAlignment="1">
      <alignment horizontal="right"/>
    </xf>
    <xf numFmtId="0" fontId="0" fillId="0" borderId="12" xfId="0" applyBorder="1"/>
    <xf numFmtId="0" fontId="0" fillId="2" borderId="10" xfId="0" applyFill="1" applyBorder="1"/>
    <xf numFmtId="0" fontId="9" fillId="2" borderId="10" xfId="0" applyFont="1" applyFill="1" applyBorder="1" applyAlignment="1">
      <alignment horizontal="right"/>
    </xf>
    <xf numFmtId="0" fontId="9" fillId="2" borderId="12" xfId="0" applyFont="1" applyFill="1" applyBorder="1" applyAlignment="1">
      <alignment horizontal="right"/>
    </xf>
    <xf numFmtId="0" fontId="8" fillId="0" borderId="9" xfId="0" applyFont="1" applyBorder="1"/>
    <xf numFmtId="0" fontId="7" fillId="0" borderId="9" xfId="0" applyFont="1" applyBorder="1"/>
    <xf numFmtId="167" fontId="0" fillId="0" borderId="0" xfId="10" quotePrefix="1" applyNumberFormat="1" applyFont="1"/>
    <xf numFmtId="168" fontId="0" fillId="0" borderId="0" xfId="10" quotePrefix="1" applyNumberFormat="1" applyFont="1"/>
    <xf numFmtId="10" fontId="8" fillId="2" borderId="9" xfId="0" applyNumberFormat="1" applyFont="1" applyFill="1" applyBorder="1" applyAlignment="1">
      <alignment horizontal="right" wrapText="1"/>
    </xf>
    <xf numFmtId="10" fontId="8" fillId="2" borderId="11" xfId="0" applyNumberFormat="1" applyFont="1" applyFill="1" applyBorder="1" applyAlignment="1">
      <alignment horizontal="right" wrapText="1"/>
    </xf>
    <xf numFmtId="10" fontId="2" fillId="0" borderId="0" xfId="11" applyNumberFormat="1" applyFont="1"/>
    <xf numFmtId="14" fontId="0" fillId="0" borderId="0" xfId="0" applyNumberFormat="1"/>
    <xf numFmtId="1" fontId="2" fillId="0" borderId="0" xfId="0" applyNumberFormat="1" applyFont="1"/>
    <xf numFmtId="169" fontId="2" fillId="0" borderId="0" xfId="10" applyNumberFormat="1" applyFont="1"/>
    <xf numFmtId="165" fontId="0" fillId="0" borderId="0" xfId="10" applyFont="1"/>
    <xf numFmtId="164" fontId="0" fillId="0" borderId="0" xfId="0" applyNumberFormat="1"/>
    <xf numFmtId="0" fontId="0" fillId="0" borderId="0" xfId="0" quotePrefix="1"/>
    <xf numFmtId="0" fontId="10" fillId="0" borderId="0" xfId="0" applyFont="1"/>
    <xf numFmtId="0" fontId="11" fillId="0" borderId="0" xfId="0" applyFont="1"/>
    <xf numFmtId="165" fontId="0" fillId="0" borderId="0" xfId="0" applyNumberFormat="1"/>
    <xf numFmtId="0" fontId="1" fillId="0" borderId="0" xfId="0" applyFont="1"/>
    <xf numFmtId="0" fontId="16" fillId="0" borderId="14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5" fillId="8" borderId="20" xfId="6" applyFont="1" applyFill="1" applyBorder="1" applyAlignment="1">
      <alignment horizontal="left" vertical="center"/>
    </xf>
    <xf numFmtId="0" fontId="26" fillId="0" borderId="19" xfId="0" applyFont="1" applyBorder="1" applyAlignment="1">
      <alignment vertical="center"/>
    </xf>
    <xf numFmtId="22" fontId="26" fillId="0" borderId="19" xfId="0" applyNumberFormat="1" applyFont="1" applyBorder="1" applyAlignment="1">
      <alignment vertical="center"/>
    </xf>
    <xf numFmtId="14" fontId="26" fillId="0" borderId="19" xfId="0" applyNumberFormat="1" applyFont="1" applyBorder="1" applyAlignment="1">
      <alignment vertical="center"/>
    </xf>
    <xf numFmtId="0" fontId="5" fillId="8" borderId="20" xfId="15" applyFont="1" applyFill="1" applyBorder="1" applyAlignment="1">
      <alignment horizontal="center" vertical="center" wrapText="1"/>
    </xf>
    <xf numFmtId="0" fontId="1" fillId="0" borderId="20" xfId="15" applyFont="1" applyBorder="1" applyAlignment="1">
      <alignment horizontal="right" vertical="center" wrapText="1"/>
    </xf>
    <xf numFmtId="9" fontId="1" fillId="0" borderId="20" xfId="11" applyFont="1" applyBorder="1" applyAlignment="1">
      <alignment horizontal="right" vertical="center" wrapText="1"/>
    </xf>
    <xf numFmtId="0" fontId="1" fillId="3" borderId="0" xfId="19" applyFont="1" applyFill="1"/>
    <xf numFmtId="0" fontId="27" fillId="3" borderId="0" xfId="19" applyFont="1" applyFill="1"/>
    <xf numFmtId="0" fontId="5" fillId="8" borderId="42" xfId="19" applyFont="1" applyFill="1" applyBorder="1" applyAlignment="1">
      <alignment horizontal="right" vertical="center"/>
    </xf>
    <xf numFmtId="0" fontId="27" fillId="0" borderId="0" xfId="19" applyFont="1" applyFill="1"/>
    <xf numFmtId="0" fontId="1" fillId="0" borderId="0" xfId="19" applyFont="1" applyFill="1"/>
    <xf numFmtId="0" fontId="1" fillId="3" borderId="4" xfId="19" applyFont="1" applyFill="1" applyBorder="1"/>
    <xf numFmtId="0" fontId="29" fillId="7" borderId="20" xfId="19" applyFont="1" applyFill="1" applyBorder="1" applyAlignment="1">
      <alignment horizontal="left" vertical="center"/>
    </xf>
    <xf numFmtId="0" fontId="6" fillId="7" borderId="20" xfId="19" applyFont="1" applyFill="1" applyBorder="1" applyAlignment="1">
      <alignment horizontal="center" vertical="center"/>
    </xf>
    <xf numFmtId="0" fontId="5" fillId="8" borderId="20" xfId="19" applyFont="1" applyFill="1" applyBorder="1" applyAlignment="1">
      <alignment vertical="center"/>
    </xf>
    <xf numFmtId="0" fontId="1" fillId="3" borderId="20" xfId="19" applyFont="1" applyFill="1" applyBorder="1" applyAlignment="1">
      <alignment horizontal="right" vertical="center"/>
    </xf>
    <xf numFmtId="0" fontId="1" fillId="3" borderId="0" xfId="19" applyFont="1" applyFill="1" applyAlignment="1">
      <alignment wrapText="1"/>
    </xf>
    <xf numFmtId="0" fontId="5" fillId="8" borderId="20" xfId="19" applyFont="1" applyFill="1" applyBorder="1" applyAlignment="1">
      <alignment vertical="center" wrapText="1"/>
    </xf>
    <xf numFmtId="0" fontId="1" fillId="3" borderId="20" xfId="19" applyFont="1" applyFill="1" applyBorder="1" applyAlignment="1">
      <alignment horizontal="right" vertical="center" wrapText="1"/>
    </xf>
    <xf numFmtId="14" fontId="1" fillId="3" borderId="20" xfId="19" applyNumberFormat="1" applyFont="1" applyFill="1" applyBorder="1" applyAlignment="1">
      <alignment horizontal="right" vertical="center"/>
    </xf>
    <xf numFmtId="15" fontId="1" fillId="3" borderId="20" xfId="19" applyNumberFormat="1" applyFont="1" applyFill="1" applyBorder="1" applyAlignment="1">
      <alignment horizontal="right" vertical="center"/>
    </xf>
    <xf numFmtId="22" fontId="1" fillId="3" borderId="20" xfId="19" applyNumberFormat="1" applyFont="1" applyFill="1" applyBorder="1" applyAlignment="1">
      <alignment horizontal="right" vertical="center"/>
    </xf>
    <xf numFmtId="0" fontId="1" fillId="3" borderId="0" xfId="20" applyFont="1" applyFill="1"/>
    <xf numFmtId="0" fontId="5" fillId="8" borderId="20" xfId="20" applyFont="1" applyFill="1" applyBorder="1" applyAlignment="1">
      <alignment horizontal="center" vertical="center"/>
    </xf>
    <xf numFmtId="0" fontId="5" fillId="8" borderId="48" xfId="20" applyFont="1" applyFill="1" applyBorder="1" applyAlignment="1">
      <alignment horizontal="center" vertical="center"/>
    </xf>
    <xf numFmtId="0" fontId="1" fillId="3" borderId="20" xfId="20" applyFont="1" applyFill="1" applyBorder="1" applyAlignment="1">
      <alignment horizontal="center" vertical="center"/>
    </xf>
    <xf numFmtId="14" fontId="1" fillId="3" borderId="20" xfId="20" applyNumberFormat="1" applyFont="1" applyFill="1" applyBorder="1" applyAlignment="1">
      <alignment horizontal="center" vertical="center"/>
    </xf>
    <xf numFmtId="0" fontId="1" fillId="3" borderId="48" xfId="20" applyFont="1" applyFill="1" applyBorder="1" applyAlignment="1">
      <alignment horizontal="center" vertical="center"/>
    </xf>
    <xf numFmtId="0" fontId="1" fillId="3" borderId="50" xfId="20" applyFont="1" applyFill="1" applyBorder="1" applyAlignment="1">
      <alignment horizontal="center" vertical="center"/>
    </xf>
    <xf numFmtId="14" fontId="1" fillId="3" borderId="50" xfId="20" applyNumberFormat="1" applyFont="1" applyFill="1" applyBorder="1" applyAlignment="1">
      <alignment horizontal="center" vertical="center"/>
    </xf>
    <xf numFmtId="0" fontId="1" fillId="3" borderId="51" xfId="20" applyFont="1" applyFill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171" fontId="1" fillId="0" borderId="20" xfId="15" applyNumberFormat="1" applyFont="1" applyBorder="1" applyAlignment="1">
      <alignment horizontal="right" vertical="center" wrapText="1"/>
    </xf>
    <xf numFmtId="172" fontId="5" fillId="5" borderId="20" xfId="11" applyNumberFormat="1" applyFont="1" applyFill="1" applyBorder="1" applyAlignment="1">
      <alignment horizontal="right" vertical="center" wrapText="1"/>
    </xf>
    <xf numFmtId="0" fontId="16" fillId="3" borderId="0" xfId="20" applyFont="1" applyFill="1"/>
    <xf numFmtId="0" fontId="16" fillId="3" borderId="0" xfId="20" applyFont="1" applyFill="1" applyAlignment="1">
      <alignment wrapText="1"/>
    </xf>
    <xf numFmtId="0" fontId="1" fillId="3" borderId="0" xfId="18" applyFont="1" applyFill="1"/>
    <xf numFmtId="0" fontId="16" fillId="3" borderId="0" xfId="18" applyFont="1" applyFill="1"/>
    <xf numFmtId="14" fontId="1" fillId="3" borderId="20" xfId="18" applyNumberFormat="1" applyFont="1" applyFill="1" applyBorder="1" applyAlignment="1">
      <alignment horizontal="right" vertical="center"/>
    </xf>
    <xf numFmtId="14" fontId="5" fillId="8" borderId="20" xfId="18" applyNumberFormat="1" applyFont="1" applyFill="1" applyBorder="1" applyAlignment="1">
      <alignment horizontal="left" vertical="center"/>
    </xf>
    <xf numFmtId="1" fontId="1" fillId="3" borderId="48" xfId="18" applyNumberFormat="1" applyFont="1" applyFill="1" applyBorder="1" applyAlignment="1">
      <alignment horizontal="right" vertical="center"/>
    </xf>
    <xf numFmtId="0" fontId="8" fillId="3" borderId="47" xfId="18" applyFont="1" applyFill="1" applyBorder="1" applyAlignment="1">
      <alignment horizontal="center" vertical="center" wrapText="1"/>
    </xf>
    <xf numFmtId="0" fontId="8" fillId="3" borderId="20" xfId="18" applyFont="1" applyFill="1" applyBorder="1" applyAlignment="1">
      <alignment horizontal="center" vertical="center" wrapText="1"/>
    </xf>
    <xf numFmtId="14" fontId="8" fillId="3" borderId="20" xfId="18" applyNumberFormat="1" applyFont="1" applyFill="1" applyBorder="1" applyAlignment="1">
      <alignment horizontal="center" vertical="center" wrapText="1"/>
    </xf>
    <xf numFmtId="0" fontId="8" fillId="3" borderId="48" xfId="18" applyFont="1" applyFill="1" applyBorder="1" applyAlignment="1">
      <alignment horizontal="center" vertical="center" wrapText="1"/>
    </xf>
    <xf numFmtId="0" fontId="8" fillId="3" borderId="49" xfId="18" applyFont="1" applyFill="1" applyBorder="1" applyAlignment="1">
      <alignment horizontal="center" vertical="center" wrapText="1"/>
    </xf>
    <xf numFmtId="0" fontId="8" fillId="3" borderId="50" xfId="18" applyFont="1" applyFill="1" applyBorder="1" applyAlignment="1">
      <alignment horizontal="center" vertical="center" wrapText="1"/>
    </xf>
    <xf numFmtId="14" fontId="8" fillId="3" borderId="50" xfId="18" applyNumberFormat="1" applyFont="1" applyFill="1" applyBorder="1" applyAlignment="1">
      <alignment horizontal="center" vertical="center" wrapText="1"/>
    </xf>
    <xf numFmtId="0" fontId="8" fillId="3" borderId="51" xfId="18" applyFont="1" applyFill="1" applyBorder="1" applyAlignment="1">
      <alignment horizontal="center" vertical="center" wrapText="1"/>
    </xf>
    <xf numFmtId="0" fontId="16" fillId="3" borderId="0" xfId="18" applyFont="1" applyFill="1" applyAlignment="1">
      <alignment wrapText="1"/>
    </xf>
    <xf numFmtId="1" fontId="8" fillId="3" borderId="47" xfId="18" applyNumberFormat="1" applyFont="1" applyFill="1" applyBorder="1" applyAlignment="1">
      <alignment horizontal="center" vertical="center" wrapText="1"/>
    </xf>
    <xf numFmtId="49" fontId="8" fillId="3" borderId="20" xfId="18" applyNumberFormat="1" applyFont="1" applyFill="1" applyBorder="1" applyAlignment="1">
      <alignment horizontal="center" vertical="center" wrapText="1"/>
    </xf>
    <xf numFmtId="1" fontId="8" fillId="3" borderId="49" xfId="18" applyNumberFormat="1" applyFont="1" applyFill="1" applyBorder="1" applyAlignment="1">
      <alignment horizontal="center" vertical="center" wrapText="1"/>
    </xf>
    <xf numFmtId="49" fontId="8" fillId="3" borderId="50" xfId="18" applyNumberFormat="1" applyFont="1" applyFill="1" applyBorder="1" applyAlignment="1">
      <alignment horizontal="center" vertical="center" wrapText="1"/>
    </xf>
    <xf numFmtId="170" fontId="1" fillId="3" borderId="48" xfId="18" applyNumberFormat="1" applyFont="1" applyFill="1" applyBorder="1"/>
    <xf numFmtId="170" fontId="1" fillId="5" borderId="51" xfId="18" applyNumberFormat="1" applyFont="1" applyFill="1" applyBorder="1"/>
    <xf numFmtId="0" fontId="5" fillId="8" borderId="41" xfId="18" applyFont="1" applyFill="1" applyBorder="1" applyAlignment="1">
      <alignment horizontal="center" vertical="center" wrapText="1"/>
    </xf>
    <xf numFmtId="0" fontId="5" fillId="8" borderId="42" xfId="18" applyFont="1" applyFill="1" applyBorder="1" applyAlignment="1">
      <alignment horizontal="center" vertical="center" wrapText="1"/>
    </xf>
    <xf numFmtId="0" fontId="5" fillId="8" borderId="43" xfId="18" applyFont="1" applyFill="1" applyBorder="1" applyAlignment="1">
      <alignment horizontal="center" vertical="center" wrapText="1"/>
    </xf>
    <xf numFmtId="0" fontId="1" fillId="3" borderId="0" xfId="18" applyFont="1" applyFill="1" applyAlignment="1">
      <alignment horizontal="center"/>
    </xf>
    <xf numFmtId="0" fontId="1" fillId="0" borderId="21" xfId="0" applyFont="1" applyBorder="1" applyAlignment="1">
      <alignment vertical="center"/>
    </xf>
    <xf numFmtId="0" fontId="32" fillId="3" borderId="25" xfId="21" applyFont="1" applyFill="1" applyBorder="1" applyAlignment="1">
      <alignment horizontal="left"/>
    </xf>
    <xf numFmtId="0" fontId="32" fillId="3" borderId="59" xfId="21" applyFont="1" applyFill="1" applyBorder="1" applyAlignment="1">
      <alignment horizontal="left"/>
    </xf>
    <xf numFmtId="0" fontId="32" fillId="3" borderId="40" xfId="21" applyFont="1" applyFill="1" applyBorder="1" applyAlignment="1">
      <alignment horizontal="left"/>
    </xf>
    <xf numFmtId="0" fontId="32" fillId="3" borderId="26" xfId="21" applyFont="1" applyFill="1" applyBorder="1" applyAlignment="1">
      <alignment horizontal="left"/>
    </xf>
    <xf numFmtId="0" fontId="3" fillId="3" borderId="4" xfId="21" applyFill="1" applyBorder="1" applyAlignment="1">
      <alignment horizontal="right"/>
    </xf>
    <xf numFmtId="0" fontId="3" fillId="3" borderId="60" xfId="21" applyFill="1" applyBorder="1" applyAlignment="1">
      <alignment horizontal="right"/>
    </xf>
    <xf numFmtId="0" fontId="32" fillId="3" borderId="62" xfId="21" applyFont="1" applyFill="1" applyBorder="1" applyAlignment="1">
      <alignment horizontal="left"/>
    </xf>
    <xf numFmtId="0" fontId="32" fillId="3" borderId="63" xfId="21" applyFont="1" applyFill="1" applyBorder="1" applyAlignment="1">
      <alignment horizontal="left"/>
    </xf>
    <xf numFmtId="0" fontId="3" fillId="3" borderId="4" xfId="21" applyFill="1" applyBorder="1" applyAlignment="1">
      <alignment horizontal="right" vertical="top"/>
    </xf>
    <xf numFmtId="0" fontId="3" fillId="3" borderId="6" xfId="21" applyFill="1" applyBorder="1" applyAlignment="1">
      <alignment horizontal="right"/>
    </xf>
    <xf numFmtId="0" fontId="3" fillId="3" borderId="0" xfId="21" applyFill="1" applyBorder="1" applyAlignment="1">
      <alignment horizontal="left"/>
    </xf>
    <xf numFmtId="0" fontId="3" fillId="3" borderId="5" xfId="21" applyFill="1" applyBorder="1" applyAlignment="1">
      <alignment horizontal="left"/>
    </xf>
    <xf numFmtId="0" fontId="3" fillId="3" borderId="0" xfId="21" applyFill="1" applyBorder="1" applyAlignment="1">
      <alignment horizontal="left" vertical="top" wrapText="1"/>
    </xf>
    <xf numFmtId="0" fontId="3" fillId="3" borderId="5" xfId="21" applyFill="1" applyBorder="1" applyAlignment="1">
      <alignment horizontal="left" vertical="top" wrapText="1"/>
    </xf>
    <xf numFmtId="0" fontId="3" fillId="3" borderId="7" xfId="21" applyFill="1" applyBorder="1" applyAlignment="1">
      <alignment horizontal="left"/>
    </xf>
    <xf numFmtId="0" fontId="3" fillId="3" borderId="8" xfId="21" applyFill="1" applyBorder="1" applyAlignment="1">
      <alignment horizontal="left"/>
    </xf>
    <xf numFmtId="0" fontId="3" fillId="3" borderId="58" xfId="21" applyFill="1" applyBorder="1" applyAlignment="1">
      <alignment horizontal="left"/>
    </xf>
    <xf numFmtId="0" fontId="3" fillId="3" borderId="61" xfId="21" applyFill="1" applyBorder="1" applyAlignment="1">
      <alignment horizontal="left"/>
    </xf>
    <xf numFmtId="0" fontId="20" fillId="3" borderId="25" xfId="21" applyFont="1" applyFill="1" applyBorder="1" applyAlignment="1">
      <alignment horizontal="left"/>
    </xf>
    <xf numFmtId="0" fontId="0" fillId="3" borderId="0" xfId="21" applyFont="1" applyFill="1" applyBorder="1" applyAlignment="1">
      <alignment horizontal="left"/>
    </xf>
    <xf numFmtId="173" fontId="1" fillId="3" borderId="20" xfId="18" applyNumberFormat="1" applyFont="1" applyFill="1" applyBorder="1"/>
    <xf numFmtId="173" fontId="1" fillId="5" borderId="50" xfId="18" applyNumberFormat="1" applyFont="1" applyFill="1" applyBorder="1"/>
    <xf numFmtId="5" fontId="8" fillId="3" borderId="20" xfId="18" applyNumberFormat="1" applyFont="1" applyFill="1" applyBorder="1" applyAlignment="1">
      <alignment horizontal="right" vertical="center" wrapText="1"/>
    </xf>
    <xf numFmtId="5" fontId="8" fillId="3" borderId="50" xfId="18" applyNumberFormat="1" applyFont="1" applyFill="1" applyBorder="1" applyAlignment="1">
      <alignment horizontal="right" vertical="center" wrapText="1"/>
    </xf>
    <xf numFmtId="175" fontId="5" fillId="5" borderId="20" xfId="15" applyNumberFormat="1" applyFont="1" applyFill="1" applyBorder="1" applyAlignment="1">
      <alignment horizontal="right" vertical="center" wrapText="1"/>
    </xf>
    <xf numFmtId="0" fontId="15" fillId="8" borderId="47" xfId="6" applyFont="1" applyFill="1" applyBorder="1" applyAlignment="1">
      <alignment horizontal="center" vertical="center" wrapText="1"/>
    </xf>
    <xf numFmtId="0" fontId="15" fillId="8" borderId="20" xfId="6" applyFont="1" applyFill="1" applyBorder="1" applyAlignment="1">
      <alignment horizontal="center" vertical="center"/>
    </xf>
    <xf numFmtId="0" fontId="1" fillId="3" borderId="20" xfId="6" applyFont="1" applyFill="1" applyBorder="1" applyAlignment="1">
      <alignment horizontal="left" vertical="center"/>
    </xf>
    <xf numFmtId="0" fontId="16" fillId="0" borderId="47" xfId="0" applyFont="1" applyBorder="1" applyAlignment="1">
      <alignment vertical="center"/>
    </xf>
    <xf numFmtId="175" fontId="5" fillId="5" borderId="35" xfId="15" applyNumberFormat="1" applyFont="1" applyFill="1" applyBorder="1" applyAlignment="1">
      <alignment horizontal="right" vertical="center" wrapText="1"/>
    </xf>
    <xf numFmtId="172" fontId="5" fillId="5" borderId="35" xfId="11" applyNumberFormat="1" applyFont="1" applyFill="1" applyBorder="1" applyAlignment="1">
      <alignment horizontal="right" vertical="center" wrapText="1"/>
    </xf>
    <xf numFmtId="0" fontId="15" fillId="8" borderId="41" xfId="6" applyFont="1" applyFill="1" applyBorder="1" applyAlignment="1">
      <alignment horizontal="center" vertical="center" wrapText="1"/>
    </xf>
    <xf numFmtId="0" fontId="15" fillId="8" borderId="42" xfId="6" applyFont="1" applyFill="1" applyBorder="1" applyAlignment="1">
      <alignment horizontal="center" vertical="center"/>
    </xf>
    <xf numFmtId="0" fontId="5" fillId="8" borderId="42" xfId="15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vertical="center"/>
    </xf>
    <xf numFmtId="0" fontId="25" fillId="3" borderId="23" xfId="6" applyFont="1" applyFill="1" applyBorder="1" applyAlignment="1">
      <alignment vertical="center"/>
    </xf>
    <xf numFmtId="0" fontId="25" fillId="3" borderId="24" xfId="6" applyFont="1" applyFill="1" applyBorder="1" applyAlignment="1">
      <alignment vertical="center"/>
    </xf>
    <xf numFmtId="0" fontId="5" fillId="8" borderId="20" xfId="19" applyFont="1" applyFill="1" applyBorder="1" applyAlignment="1">
      <alignment horizontal="right" vertical="center"/>
    </xf>
    <xf numFmtId="0" fontId="5" fillId="8" borderId="20" xfId="19" applyFont="1" applyFill="1" applyBorder="1" applyAlignment="1">
      <alignment horizontal="left" vertical="center"/>
    </xf>
    <xf numFmtId="0" fontId="1" fillId="3" borderId="47" xfId="19" applyFont="1" applyFill="1" applyBorder="1"/>
    <xf numFmtId="0" fontId="5" fillId="8" borderId="47" xfId="20" applyFont="1" applyFill="1" applyBorder="1" applyAlignment="1">
      <alignment horizontal="center" vertical="center" wrapText="1"/>
    </xf>
    <xf numFmtId="0" fontId="16" fillId="3" borderId="47" xfId="20" applyFont="1" applyFill="1" applyBorder="1"/>
    <xf numFmtId="0" fontId="16" fillId="3" borderId="49" xfId="20" applyFont="1" applyFill="1" applyBorder="1"/>
    <xf numFmtId="0" fontId="16" fillId="3" borderId="4" xfId="20" applyFont="1" applyFill="1" applyBorder="1"/>
    <xf numFmtId="0" fontId="16" fillId="3" borderId="0" xfId="20" applyFont="1" applyFill="1" applyBorder="1"/>
    <xf numFmtId="0" fontId="16" fillId="3" borderId="5" xfId="20" applyFont="1" applyFill="1" applyBorder="1"/>
    <xf numFmtId="0" fontId="15" fillId="8" borderId="20" xfId="6" applyFont="1" applyFill="1" applyBorder="1" applyAlignment="1">
      <alignment horizontal="left" vertical="center"/>
    </xf>
    <xf numFmtId="0" fontId="15" fillId="8" borderId="18" xfId="6" applyFont="1" applyFill="1" applyBorder="1" applyAlignment="1">
      <alignment horizontal="left" vertical="center"/>
    </xf>
    <xf numFmtId="0" fontId="26" fillId="0" borderId="14" xfId="0" applyFont="1" applyBorder="1" applyAlignment="1">
      <alignment vertical="center"/>
    </xf>
    <xf numFmtId="5" fontId="8" fillId="3" borderId="48" xfId="18" applyNumberFormat="1" applyFont="1" applyFill="1" applyBorder="1" applyAlignment="1">
      <alignment horizontal="right" vertical="center" wrapText="1"/>
    </xf>
    <xf numFmtId="5" fontId="8" fillId="3" borderId="51" xfId="18" applyNumberFormat="1" applyFont="1" applyFill="1" applyBorder="1" applyAlignment="1">
      <alignment horizontal="right" vertical="center" wrapText="1"/>
    </xf>
    <xf numFmtId="0" fontId="24" fillId="0" borderId="20" xfId="15" applyFont="1" applyBorder="1" applyAlignment="1">
      <alignment horizontal="right" vertical="center"/>
    </xf>
    <xf numFmtId="0" fontId="24" fillId="0" borderId="48" xfId="15" applyFont="1" applyBorder="1" applyAlignment="1">
      <alignment horizontal="right" vertical="center"/>
    </xf>
    <xf numFmtId="0" fontId="16" fillId="0" borderId="20" xfId="0" applyFont="1" applyBorder="1" applyAlignment="1">
      <alignment horizontal="left" vertical="center" wrapText="1"/>
    </xf>
    <xf numFmtId="0" fontId="16" fillId="0" borderId="48" xfId="0" applyFont="1" applyBorder="1" applyAlignment="1">
      <alignment horizontal="left" vertical="center" wrapText="1"/>
    </xf>
    <xf numFmtId="0" fontId="16" fillId="0" borderId="50" xfId="15" applyFont="1" applyBorder="1" applyAlignment="1">
      <alignment horizontal="right" vertical="center" wrapText="1"/>
    </xf>
    <xf numFmtId="0" fontId="16" fillId="0" borderId="51" xfId="15" applyFont="1" applyBorder="1" applyAlignment="1">
      <alignment horizontal="right" vertical="center" wrapText="1"/>
    </xf>
    <xf numFmtId="173" fontId="14" fillId="0" borderId="33" xfId="6" applyNumberFormat="1" applyFont="1" applyFill="1" applyBorder="1" applyAlignment="1">
      <alignment horizontal="right" vertical="center" wrapText="1"/>
    </xf>
    <xf numFmtId="173" fontId="14" fillId="0" borderId="39" xfId="6" applyNumberFormat="1" applyFont="1" applyFill="1" applyBorder="1" applyAlignment="1">
      <alignment horizontal="right" vertical="center" wrapText="1"/>
    </xf>
    <xf numFmtId="173" fontId="14" fillId="0" borderId="37" xfId="6" applyNumberFormat="1" applyFont="1" applyFill="1" applyBorder="1" applyAlignment="1">
      <alignment horizontal="right" vertical="center" wrapText="1"/>
    </xf>
    <xf numFmtId="170" fontId="14" fillId="0" borderId="33" xfId="6" applyNumberFormat="1" applyFont="1" applyFill="1" applyBorder="1" applyAlignment="1">
      <alignment horizontal="right" vertical="center"/>
    </xf>
    <xf numFmtId="170" fontId="14" fillId="0" borderId="39" xfId="6" applyNumberFormat="1" applyFont="1" applyFill="1" applyBorder="1" applyAlignment="1">
      <alignment horizontal="right" vertical="center"/>
    </xf>
    <xf numFmtId="170" fontId="14" fillId="0" borderId="37" xfId="6" applyNumberFormat="1" applyFont="1" applyFill="1" applyBorder="1" applyAlignment="1">
      <alignment horizontal="right" vertical="center"/>
    </xf>
    <xf numFmtId="173" fontId="14" fillId="0" borderId="33" xfId="6" applyNumberFormat="1" applyFont="1" applyFill="1" applyBorder="1" applyAlignment="1">
      <alignment horizontal="right" vertical="center"/>
    </xf>
    <xf numFmtId="173" fontId="14" fillId="0" borderId="39" xfId="6" applyNumberFormat="1" applyFont="1" applyFill="1" applyBorder="1" applyAlignment="1">
      <alignment horizontal="right" vertical="center"/>
    </xf>
    <xf numFmtId="173" fontId="14" fillId="0" borderId="37" xfId="6" applyNumberFormat="1" applyFont="1" applyFill="1" applyBorder="1" applyAlignment="1">
      <alignment horizontal="right" vertical="center"/>
    </xf>
    <xf numFmtId="173" fontId="16" fillId="0" borderId="20" xfId="0" applyNumberFormat="1" applyFont="1" applyBorder="1" applyAlignment="1">
      <alignment horizontal="right" vertical="center"/>
    </xf>
    <xf numFmtId="173" fontId="16" fillId="0" borderId="48" xfId="0" applyNumberFormat="1" applyFont="1" applyBorder="1" applyAlignment="1">
      <alignment horizontal="right" vertical="center"/>
    </xf>
    <xf numFmtId="0" fontId="24" fillId="0" borderId="50" xfId="15" applyFont="1" applyBorder="1" applyAlignment="1">
      <alignment vertical="center"/>
    </xf>
    <xf numFmtId="0" fontId="24" fillId="0" borderId="51" xfId="15" applyFont="1" applyBorder="1" applyAlignment="1">
      <alignment vertical="center"/>
    </xf>
    <xf numFmtId="0" fontId="16" fillId="0" borderId="42" xfId="0" applyFont="1" applyBorder="1" applyAlignment="1">
      <alignment horizontal="right" vertical="center"/>
    </xf>
    <xf numFmtId="0" fontId="16" fillId="0" borderId="43" xfId="0" applyFont="1" applyBorder="1" applyAlignment="1">
      <alignment horizontal="right" vertical="center"/>
    </xf>
    <xf numFmtId="173" fontId="14" fillId="0" borderId="20" xfId="6" applyNumberFormat="1" applyFont="1" applyBorder="1" applyAlignment="1">
      <alignment horizontal="right" vertical="center" wrapText="1"/>
    </xf>
    <xf numFmtId="173" fontId="14" fillId="0" borderId="48" xfId="6" applyNumberFormat="1" applyFont="1" applyBorder="1" applyAlignment="1">
      <alignment horizontal="right" vertical="center" wrapText="1"/>
    </xf>
    <xf numFmtId="0" fontId="5" fillId="8" borderId="42" xfId="15" applyFont="1" applyFill="1" applyBorder="1" applyAlignment="1">
      <alignment horizontal="center" vertical="center" wrapText="1"/>
    </xf>
    <xf numFmtId="0" fontId="5" fillId="8" borderId="43" xfId="15" applyFont="1" applyFill="1" applyBorder="1" applyAlignment="1">
      <alignment horizontal="center" vertical="center" wrapText="1"/>
    </xf>
    <xf numFmtId="0" fontId="29" fillId="6" borderId="47" xfId="6" applyFont="1" applyFill="1" applyBorder="1" applyAlignment="1">
      <alignment horizontal="center" vertical="center"/>
    </xf>
    <xf numFmtId="0" fontId="29" fillId="6" borderId="20" xfId="6" applyFont="1" applyFill="1" applyBorder="1" applyAlignment="1">
      <alignment horizontal="center" vertical="center"/>
    </xf>
    <xf numFmtId="0" fontId="29" fillId="6" borderId="48" xfId="6" applyFont="1" applyFill="1" applyBorder="1" applyAlignment="1">
      <alignment horizontal="center" vertical="center"/>
    </xf>
    <xf numFmtId="0" fontId="15" fillId="5" borderId="47" xfId="6" applyFont="1" applyFill="1" applyBorder="1" applyAlignment="1">
      <alignment horizontal="center" vertical="center"/>
    </xf>
    <xf numFmtId="0" fontId="15" fillId="5" borderId="20" xfId="6" applyFont="1" applyFill="1" applyBorder="1" applyAlignment="1">
      <alignment horizontal="center" vertical="center"/>
    </xf>
    <xf numFmtId="0" fontId="15" fillId="8" borderId="49" xfId="6" applyFont="1" applyFill="1" applyBorder="1" applyAlignment="1">
      <alignment horizontal="left" vertical="center"/>
    </xf>
    <xf numFmtId="0" fontId="15" fillId="8" borderId="50" xfId="6" applyFont="1" applyFill="1" applyBorder="1" applyAlignment="1">
      <alignment horizontal="left" vertical="center"/>
    </xf>
    <xf numFmtId="0" fontId="16" fillId="0" borderId="20" xfId="0" applyFont="1" applyBorder="1" applyAlignment="1">
      <alignment vertical="center"/>
    </xf>
    <xf numFmtId="0" fontId="16" fillId="0" borderId="48" xfId="0" applyFont="1" applyBorder="1" applyAlignment="1">
      <alignment vertical="center"/>
    </xf>
    <xf numFmtId="0" fontId="1" fillId="0" borderId="20" xfId="15" applyFont="1" applyBorder="1" applyAlignment="1">
      <alignment horizontal="right" vertical="center" wrapText="1"/>
    </xf>
    <xf numFmtId="0" fontId="1" fillId="0" borderId="48" xfId="15" applyFont="1" applyBorder="1" applyAlignment="1">
      <alignment horizontal="right" vertical="center" wrapText="1"/>
    </xf>
    <xf numFmtId="0" fontId="5" fillId="5" borderId="20" xfId="15" applyFont="1" applyFill="1" applyBorder="1" applyAlignment="1">
      <alignment horizontal="right" vertical="center" wrapText="1"/>
    </xf>
    <xf numFmtId="0" fontId="5" fillId="5" borderId="48" xfId="15" applyFont="1" applyFill="1" applyBorder="1" applyAlignment="1">
      <alignment horizontal="right" vertical="center" wrapText="1"/>
    </xf>
    <xf numFmtId="0" fontId="15" fillId="8" borderId="47" xfId="6" applyFont="1" applyFill="1" applyBorder="1" applyAlignment="1">
      <alignment horizontal="left" vertical="center"/>
    </xf>
    <xf numFmtId="0" fontId="15" fillId="8" borderId="20" xfId="6" applyFont="1" applyFill="1" applyBorder="1" applyAlignment="1">
      <alignment horizontal="left" vertical="center"/>
    </xf>
    <xf numFmtId="0" fontId="29" fillId="6" borderId="17" xfId="6" applyFont="1" applyFill="1" applyBorder="1" applyAlignment="1">
      <alignment horizontal="center" vertical="center"/>
    </xf>
    <xf numFmtId="0" fontId="29" fillId="6" borderId="18" xfId="6" applyFont="1" applyFill="1" applyBorder="1" applyAlignment="1">
      <alignment horizontal="center" vertical="center"/>
    </xf>
    <xf numFmtId="0" fontId="29" fillId="6" borderId="15" xfId="6" applyFont="1" applyFill="1" applyBorder="1" applyAlignment="1">
      <alignment horizontal="center" vertical="center"/>
    </xf>
    <xf numFmtId="0" fontId="22" fillId="4" borderId="1" xfId="6" applyFont="1" applyFill="1" applyBorder="1" applyAlignment="1">
      <alignment horizontal="center" vertical="center"/>
    </xf>
    <xf numFmtId="0" fontId="22" fillId="4" borderId="2" xfId="6" applyFont="1" applyFill="1" applyBorder="1" applyAlignment="1">
      <alignment horizontal="center" vertical="center"/>
    </xf>
    <xf numFmtId="0" fontId="22" fillId="4" borderId="3" xfId="6" applyFont="1" applyFill="1" applyBorder="1" applyAlignment="1">
      <alignment horizontal="center" vertical="center"/>
    </xf>
    <xf numFmtId="0" fontId="15" fillId="8" borderId="17" xfId="6" applyFont="1" applyFill="1" applyBorder="1" applyAlignment="1">
      <alignment horizontal="left" vertical="center"/>
    </xf>
    <xf numFmtId="0" fontId="15" fillId="8" borderId="18" xfId="6" applyFont="1" applyFill="1" applyBorder="1" applyAlignment="1">
      <alignment horizontal="left" vertical="center"/>
    </xf>
    <xf numFmtId="0" fontId="23" fillId="0" borderId="64" xfId="0" applyFont="1" applyBorder="1" applyAlignment="1">
      <alignment horizontal="right" vertical="center" wrapText="1"/>
    </xf>
    <xf numFmtId="0" fontId="23" fillId="0" borderId="54" xfId="0" applyFont="1" applyBorder="1" applyAlignment="1">
      <alignment horizontal="right" vertical="center" wrapText="1"/>
    </xf>
    <xf numFmtId="0" fontId="23" fillId="0" borderId="38" xfId="0" applyFont="1" applyBorder="1" applyAlignment="1">
      <alignment horizontal="right" vertical="center" wrapText="1"/>
    </xf>
    <xf numFmtId="173" fontId="23" fillId="0" borderId="33" xfId="0" applyNumberFormat="1" applyFont="1" applyBorder="1" applyAlignment="1">
      <alignment horizontal="right" vertical="center" wrapText="1"/>
    </xf>
    <xf numFmtId="173" fontId="23" fillId="0" borderId="29" xfId="0" applyNumberFormat="1" applyFont="1" applyBorder="1" applyAlignment="1">
      <alignment horizontal="right" vertical="center" wrapText="1"/>
    </xf>
    <xf numFmtId="173" fontId="23" fillId="0" borderId="37" xfId="0" applyNumberFormat="1" applyFont="1" applyBorder="1" applyAlignment="1">
      <alignment horizontal="right" vertical="center" wrapText="1"/>
    </xf>
    <xf numFmtId="0" fontId="23" fillId="0" borderId="20" xfId="0" applyFont="1" applyBorder="1" applyAlignment="1">
      <alignment horizontal="right" vertical="center" wrapText="1"/>
    </xf>
    <xf numFmtId="0" fontId="23" fillId="0" borderId="48" xfId="0" applyFont="1" applyBorder="1" applyAlignment="1">
      <alignment horizontal="right" vertical="center" wrapText="1"/>
    </xf>
    <xf numFmtId="14" fontId="14" fillId="0" borderId="20" xfId="6" applyNumberFormat="1" applyFont="1" applyBorder="1" applyAlignment="1">
      <alignment horizontal="right" vertical="center" wrapText="1"/>
    </xf>
    <xf numFmtId="0" fontId="14" fillId="0" borderId="20" xfId="6" applyNumberFormat="1" applyFont="1" applyBorder="1" applyAlignment="1">
      <alignment horizontal="right" vertical="center" wrapText="1"/>
    </xf>
    <xf numFmtId="0" fontId="14" fillId="0" borderId="48" xfId="6" applyNumberFormat="1" applyFont="1" applyBorder="1" applyAlignment="1">
      <alignment horizontal="right" vertical="center" wrapText="1"/>
    </xf>
    <xf numFmtId="0" fontId="23" fillId="0" borderId="33" xfId="0" applyFont="1" applyBorder="1" applyAlignment="1">
      <alignment horizontal="right" vertical="center" wrapText="1"/>
    </xf>
    <xf numFmtId="0" fontId="23" fillId="0" borderId="29" xfId="0" applyFont="1" applyBorder="1" applyAlignment="1">
      <alignment horizontal="right" vertical="center" wrapText="1"/>
    </xf>
    <xf numFmtId="22" fontId="23" fillId="0" borderId="33" xfId="0" applyNumberFormat="1" applyFont="1" applyBorder="1" applyAlignment="1">
      <alignment horizontal="right" vertical="center" wrapText="1"/>
    </xf>
    <xf numFmtId="22" fontId="23" fillId="0" borderId="37" xfId="0" applyNumberFormat="1" applyFont="1" applyBorder="1" applyAlignment="1">
      <alignment horizontal="right" vertical="center" wrapText="1"/>
    </xf>
    <xf numFmtId="0" fontId="14" fillId="0" borderId="33" xfId="6" applyFont="1" applyBorder="1" applyAlignment="1">
      <alignment horizontal="right" vertical="center" wrapText="1"/>
    </xf>
    <xf numFmtId="0" fontId="14" fillId="0" borderId="29" xfId="6" applyFont="1" applyBorder="1" applyAlignment="1">
      <alignment horizontal="right" vertical="center" wrapText="1"/>
    </xf>
    <xf numFmtId="0" fontId="14" fillId="0" borderId="37" xfId="6" applyFont="1" applyBorder="1" applyAlignment="1">
      <alignment horizontal="right" vertical="center" wrapText="1"/>
    </xf>
    <xf numFmtId="0" fontId="29" fillId="4" borderId="30" xfId="6" applyFont="1" applyFill="1" applyBorder="1" applyAlignment="1">
      <alignment horizontal="center" vertical="center"/>
    </xf>
    <xf numFmtId="0" fontId="29" fillId="4" borderId="31" xfId="6" applyFont="1" applyFill="1" applyBorder="1" applyAlignment="1">
      <alignment horizontal="center" vertical="center"/>
    </xf>
    <xf numFmtId="0" fontId="29" fillId="4" borderId="32" xfId="6" applyFont="1" applyFill="1" applyBorder="1" applyAlignment="1">
      <alignment horizontal="center" vertical="center"/>
    </xf>
    <xf numFmtId="0" fontId="29" fillId="6" borderId="41" xfId="6" applyFont="1" applyFill="1" applyBorder="1" applyAlignment="1">
      <alignment horizontal="center" vertical="center"/>
    </xf>
    <xf numFmtId="0" fontId="29" fillId="6" borderId="42" xfId="6" applyFont="1" applyFill="1" applyBorder="1" applyAlignment="1">
      <alignment horizontal="center" vertical="center"/>
    </xf>
    <xf numFmtId="0" fontId="29" fillId="6" borderId="43" xfId="6" applyFont="1" applyFill="1" applyBorder="1" applyAlignment="1">
      <alignment horizontal="center" vertical="center"/>
    </xf>
    <xf numFmtId="0" fontId="15" fillId="5" borderId="34" xfId="6" applyFont="1" applyFill="1" applyBorder="1" applyAlignment="1">
      <alignment horizontal="center" vertical="center"/>
    </xf>
    <xf numFmtId="0" fontId="15" fillId="5" borderId="35" xfId="6" applyFont="1" applyFill="1" applyBorder="1" applyAlignment="1">
      <alignment horizontal="center" vertical="center"/>
    </xf>
    <xf numFmtId="0" fontId="5" fillId="8" borderId="20" xfId="15" applyFont="1" applyFill="1" applyBorder="1" applyAlignment="1">
      <alignment horizontal="center" vertical="center" wrapText="1"/>
    </xf>
    <xf numFmtId="0" fontId="5" fillId="8" borderId="48" xfId="15" applyFont="1" applyFill="1" applyBorder="1" applyAlignment="1">
      <alignment horizontal="center" vertical="center" wrapText="1"/>
    </xf>
    <xf numFmtId="0" fontId="5" fillId="5" borderId="35" xfId="15" applyFont="1" applyFill="1" applyBorder="1" applyAlignment="1">
      <alignment horizontal="right" vertical="center" wrapText="1"/>
    </xf>
    <xf numFmtId="0" fontId="5" fillId="5" borderId="36" xfId="15" applyFont="1" applyFill="1" applyBorder="1" applyAlignment="1">
      <alignment horizontal="right" vertical="center" wrapText="1"/>
    </xf>
    <xf numFmtId="0" fontId="1" fillId="0" borderId="33" xfId="15" applyFont="1" applyBorder="1" applyAlignment="1">
      <alignment horizontal="right" vertical="center" wrapText="1"/>
    </xf>
    <xf numFmtId="0" fontId="1" fillId="0" borderId="37" xfId="15" applyFont="1" applyBorder="1" applyAlignment="1">
      <alignment horizontal="right" vertical="center" wrapText="1"/>
    </xf>
    <xf numFmtId="0" fontId="17" fillId="4" borderId="30" xfId="6" applyFont="1" applyFill="1" applyBorder="1" applyAlignment="1">
      <alignment horizontal="center" vertical="center"/>
    </xf>
    <xf numFmtId="0" fontId="17" fillId="4" borderId="31" xfId="6" applyFont="1" applyFill="1" applyBorder="1" applyAlignment="1">
      <alignment horizontal="center" vertical="center"/>
    </xf>
    <xf numFmtId="0" fontId="17" fillId="4" borderId="32" xfId="6" applyFont="1" applyFill="1" applyBorder="1" applyAlignment="1">
      <alignment horizontal="center" vertical="center"/>
    </xf>
    <xf numFmtId="0" fontId="15" fillId="8" borderId="41" xfId="6" applyFont="1" applyFill="1" applyBorder="1" applyAlignment="1">
      <alignment horizontal="left" vertical="center"/>
    </xf>
    <xf numFmtId="0" fontId="15" fillId="8" borderId="42" xfId="6" applyFont="1" applyFill="1" applyBorder="1" applyAlignment="1">
      <alignment horizontal="left" vertical="center"/>
    </xf>
    <xf numFmtId="0" fontId="16" fillId="0" borderId="20" xfId="0" applyFont="1" applyBorder="1" applyAlignment="1">
      <alignment vertical="center" wrapText="1"/>
    </xf>
    <xf numFmtId="0" fontId="16" fillId="0" borderId="48" xfId="0" applyFont="1" applyBorder="1" applyAlignment="1">
      <alignment vertical="center" wrapText="1"/>
    </xf>
    <xf numFmtId="174" fontId="16" fillId="0" borderId="50" xfId="0" applyNumberFormat="1" applyFont="1" applyBorder="1" applyAlignment="1">
      <alignment vertical="center"/>
    </xf>
    <xf numFmtId="174" fontId="16" fillId="0" borderId="51" xfId="0" applyNumberFormat="1" applyFont="1" applyBorder="1" applyAlignment="1">
      <alignment vertical="center"/>
    </xf>
    <xf numFmtId="173" fontId="1" fillId="0" borderId="20" xfId="0" applyNumberFormat="1" applyFont="1" applyBorder="1" applyAlignment="1">
      <alignment horizontal="right" vertical="center"/>
    </xf>
    <xf numFmtId="173" fontId="1" fillId="0" borderId="48" xfId="0" applyNumberFormat="1" applyFont="1" applyBorder="1" applyAlignment="1">
      <alignment horizontal="right" vertical="center"/>
    </xf>
    <xf numFmtId="0" fontId="15" fillId="8" borderId="47" xfId="6" applyFont="1" applyFill="1" applyBorder="1" applyAlignment="1">
      <alignment horizontal="center" vertical="center"/>
    </xf>
    <xf numFmtId="0" fontId="15" fillId="8" borderId="20" xfId="6" applyFont="1" applyFill="1" applyBorder="1" applyAlignment="1">
      <alignment horizontal="center" vertical="center"/>
    </xf>
    <xf numFmtId="173" fontId="5" fillId="8" borderId="20" xfId="0" applyNumberFormat="1" applyFont="1" applyFill="1" applyBorder="1" applyAlignment="1">
      <alignment horizontal="center" vertical="center"/>
    </xf>
    <xf numFmtId="173" fontId="5" fillId="8" borderId="48" xfId="0" applyNumberFormat="1" applyFont="1" applyFill="1" applyBorder="1" applyAlignment="1">
      <alignment horizontal="center" vertical="center"/>
    </xf>
    <xf numFmtId="0" fontId="15" fillId="0" borderId="47" xfId="6" applyFont="1" applyFill="1" applyBorder="1" applyAlignment="1">
      <alignment horizontal="left" vertical="center"/>
    </xf>
    <xf numFmtId="0" fontId="15" fillId="0" borderId="20" xfId="6" applyFont="1" applyFill="1" applyBorder="1" applyAlignment="1">
      <alignment horizontal="left" vertical="center"/>
    </xf>
    <xf numFmtId="173" fontId="5" fillId="0" borderId="20" xfId="0" applyNumberFormat="1" applyFont="1" applyFill="1" applyBorder="1" applyAlignment="1">
      <alignment horizontal="right" vertical="center"/>
    </xf>
    <xf numFmtId="173" fontId="5" fillId="0" borderId="48" xfId="0" applyNumberFormat="1" applyFont="1" applyFill="1" applyBorder="1" applyAlignment="1">
      <alignment horizontal="right" vertical="center"/>
    </xf>
    <xf numFmtId="0" fontId="28" fillId="4" borderId="30" xfId="18" applyFont="1" applyFill="1" applyBorder="1" applyAlignment="1">
      <alignment horizontal="center" vertical="center"/>
    </xf>
    <xf numFmtId="0" fontId="28" fillId="4" borderId="31" xfId="18" applyFont="1" applyFill="1" applyBorder="1" applyAlignment="1">
      <alignment horizontal="center" vertical="center"/>
    </xf>
    <xf numFmtId="0" fontId="28" fillId="4" borderId="32" xfId="18" applyFont="1" applyFill="1" applyBorder="1" applyAlignment="1">
      <alignment horizontal="center" vertical="center"/>
    </xf>
    <xf numFmtId="0" fontId="5" fillId="8" borderId="52" xfId="18" applyFont="1" applyFill="1" applyBorder="1" applyAlignment="1">
      <alignment vertical="center"/>
    </xf>
    <xf numFmtId="0" fontId="5" fillId="8" borderId="39" xfId="18" applyFont="1" applyFill="1" applyBorder="1" applyAlignment="1">
      <alignment vertical="center"/>
    </xf>
    <xf numFmtId="0" fontId="5" fillId="8" borderId="29" xfId="18" applyFont="1" applyFill="1" applyBorder="1" applyAlignment="1">
      <alignment vertical="center"/>
    </xf>
    <xf numFmtId="0" fontId="1" fillId="3" borderId="20" xfId="18" applyFont="1" applyFill="1" applyBorder="1" applyAlignment="1">
      <alignment horizontal="right" vertical="center"/>
    </xf>
    <xf numFmtId="0" fontId="1" fillId="3" borderId="48" xfId="18" applyFont="1" applyFill="1" applyBorder="1" applyAlignment="1">
      <alignment horizontal="right" vertical="center"/>
    </xf>
    <xf numFmtId="0" fontId="31" fillId="4" borderId="22" xfId="18" applyFont="1" applyFill="1" applyBorder="1" applyAlignment="1">
      <alignment horizontal="center" vertical="center"/>
    </xf>
    <xf numFmtId="0" fontId="31" fillId="4" borderId="23" xfId="18" applyFont="1" applyFill="1" applyBorder="1" applyAlignment="1">
      <alignment horizontal="center" vertical="center"/>
    </xf>
    <xf numFmtId="0" fontId="31" fillId="4" borderId="24" xfId="18" applyFont="1" applyFill="1" applyBorder="1" applyAlignment="1">
      <alignment horizontal="center" vertical="center"/>
    </xf>
    <xf numFmtId="0" fontId="5" fillId="8" borderId="56" xfId="18" applyFont="1" applyFill="1" applyBorder="1" applyAlignment="1">
      <alignment vertical="center"/>
    </xf>
    <xf numFmtId="0" fontId="5" fillId="8" borderId="27" xfId="18" applyFont="1" applyFill="1" applyBorder="1" applyAlignment="1">
      <alignment vertical="center"/>
    </xf>
    <xf numFmtId="0" fontId="5" fillId="8" borderId="44" xfId="18" applyFont="1" applyFill="1" applyBorder="1" applyAlignment="1">
      <alignment vertical="center"/>
    </xf>
    <xf numFmtId="0" fontId="1" fillId="3" borderId="42" xfId="18" applyFont="1" applyFill="1" applyBorder="1" applyAlignment="1">
      <alignment horizontal="right" vertical="center"/>
    </xf>
    <xf numFmtId="0" fontId="1" fillId="3" borderId="43" xfId="18" applyFont="1" applyFill="1" applyBorder="1" applyAlignment="1">
      <alignment horizontal="right" vertical="center"/>
    </xf>
    <xf numFmtId="49" fontId="1" fillId="3" borderId="20" xfId="18" applyNumberFormat="1" applyFont="1" applyFill="1" applyBorder="1" applyAlignment="1">
      <alignment horizontal="right" vertical="center"/>
    </xf>
    <xf numFmtId="49" fontId="1" fillId="3" borderId="48" xfId="18" applyNumberFormat="1" applyFont="1" applyFill="1" applyBorder="1" applyAlignment="1">
      <alignment horizontal="right" vertical="center"/>
    </xf>
    <xf numFmtId="0" fontId="5" fillId="8" borderId="52" xfId="18" applyFont="1" applyFill="1" applyBorder="1" applyAlignment="1">
      <alignment vertical="center" wrapText="1"/>
    </xf>
    <xf numFmtId="0" fontId="5" fillId="8" borderId="39" xfId="18" applyFont="1" applyFill="1" applyBorder="1" applyAlignment="1">
      <alignment vertical="center" wrapText="1"/>
    </xf>
    <xf numFmtId="0" fontId="5" fillId="8" borderId="29" xfId="18" applyFont="1" applyFill="1" applyBorder="1" applyAlignment="1">
      <alignment vertical="center" wrapText="1"/>
    </xf>
    <xf numFmtId="0" fontId="1" fillId="3" borderId="20" xfId="18" applyFont="1" applyFill="1" applyBorder="1" applyAlignment="1">
      <alignment horizontal="right" vertical="center" wrapText="1"/>
    </xf>
    <xf numFmtId="0" fontId="1" fillId="3" borderId="48" xfId="18" applyFont="1" applyFill="1" applyBorder="1" applyAlignment="1">
      <alignment horizontal="right" vertical="center" wrapText="1"/>
    </xf>
    <xf numFmtId="5" fontId="1" fillId="3" borderId="20" xfId="18" applyNumberFormat="1" applyFont="1" applyFill="1" applyBorder="1" applyAlignment="1">
      <alignment horizontal="right" vertical="center"/>
    </xf>
    <xf numFmtId="5" fontId="1" fillId="3" borderId="48" xfId="18" applyNumberFormat="1" applyFont="1" applyFill="1" applyBorder="1" applyAlignment="1">
      <alignment horizontal="right" vertical="center"/>
    </xf>
    <xf numFmtId="0" fontId="20" fillId="8" borderId="52" xfId="18" applyFont="1" applyFill="1" applyBorder="1" applyAlignment="1">
      <alignment vertical="center"/>
    </xf>
    <xf numFmtId="0" fontId="20" fillId="8" borderId="39" xfId="18" applyFont="1" applyFill="1" applyBorder="1" applyAlignment="1">
      <alignment vertical="center"/>
    </xf>
    <xf numFmtId="0" fontId="20" fillId="8" borderId="29" xfId="18" applyFont="1" applyFill="1" applyBorder="1" applyAlignment="1">
      <alignment vertical="center"/>
    </xf>
    <xf numFmtId="0" fontId="3" fillId="3" borderId="20" xfId="18" applyFill="1" applyBorder="1" applyAlignment="1">
      <alignment horizontal="right" vertical="center"/>
    </xf>
    <xf numFmtId="0" fontId="3" fillId="3" borderId="48" xfId="18" applyFill="1" applyBorder="1" applyAlignment="1">
      <alignment horizontal="right" vertical="center"/>
    </xf>
    <xf numFmtId="14" fontId="1" fillId="3" borderId="20" xfId="18" applyNumberFormat="1" applyFont="1" applyFill="1" applyBorder="1" applyAlignment="1">
      <alignment horizontal="right" vertical="center"/>
    </xf>
    <xf numFmtId="14" fontId="1" fillId="3" borderId="48" xfId="18" applyNumberFormat="1" applyFont="1" applyFill="1" applyBorder="1" applyAlignment="1">
      <alignment horizontal="right" vertical="center"/>
    </xf>
    <xf numFmtId="0" fontId="1" fillId="3" borderId="35" xfId="18" applyFont="1" applyFill="1" applyBorder="1" applyAlignment="1">
      <alignment horizontal="right" vertical="center"/>
    </xf>
    <xf numFmtId="0" fontId="1" fillId="3" borderId="36" xfId="18" applyFont="1" applyFill="1" applyBorder="1" applyAlignment="1">
      <alignment horizontal="right" vertical="center"/>
    </xf>
    <xf numFmtId="0" fontId="28" fillId="4" borderId="30" xfId="18" applyFont="1" applyFill="1" applyBorder="1" applyAlignment="1">
      <alignment horizontal="center" vertical="center" wrapText="1"/>
    </xf>
    <xf numFmtId="0" fontId="28" fillId="4" borderId="31" xfId="18" applyFont="1" applyFill="1" applyBorder="1" applyAlignment="1">
      <alignment horizontal="center" vertical="center" wrapText="1"/>
    </xf>
    <xf numFmtId="0" fontId="28" fillId="4" borderId="32" xfId="18" applyFont="1" applyFill="1" applyBorder="1" applyAlignment="1">
      <alignment horizontal="center" vertical="center" wrapText="1"/>
    </xf>
    <xf numFmtId="0" fontId="5" fillId="8" borderId="57" xfId="18" applyFont="1" applyFill="1" applyBorder="1" applyAlignment="1">
      <alignment horizontal="left" vertical="center"/>
    </xf>
    <xf numFmtId="0" fontId="5" fillId="8" borderId="46" xfId="18" applyFont="1" applyFill="1" applyBorder="1" applyAlignment="1">
      <alignment horizontal="left" vertical="center"/>
    </xf>
    <xf numFmtId="0" fontId="5" fillId="8" borderId="55" xfId="18" applyFont="1" applyFill="1" applyBorder="1" applyAlignment="1">
      <alignment horizontal="left" vertical="center"/>
    </xf>
    <xf numFmtId="22" fontId="1" fillId="3" borderId="45" xfId="18" applyNumberFormat="1" applyFont="1" applyFill="1" applyBorder="1" applyAlignment="1">
      <alignment horizontal="right" vertical="center"/>
    </xf>
    <xf numFmtId="22" fontId="1" fillId="3" borderId="46" xfId="18" applyNumberFormat="1" applyFont="1" applyFill="1" applyBorder="1" applyAlignment="1">
      <alignment horizontal="right" vertical="center"/>
    </xf>
    <xf numFmtId="22" fontId="1" fillId="3" borderId="53" xfId="18" applyNumberFormat="1" applyFont="1" applyFill="1" applyBorder="1" applyAlignment="1">
      <alignment horizontal="right" vertical="center"/>
    </xf>
    <xf numFmtId="0" fontId="5" fillId="8" borderId="47" xfId="18" applyFont="1" applyFill="1" applyBorder="1"/>
    <xf numFmtId="0" fontId="5" fillId="8" borderId="20" xfId="18" applyFont="1" applyFill="1" applyBorder="1"/>
    <xf numFmtId="0" fontId="5" fillId="8" borderId="49" xfId="18" applyFont="1" applyFill="1" applyBorder="1"/>
    <xf numFmtId="0" fontId="5" fillId="8" borderId="50" xfId="18" applyFont="1" applyFill="1" applyBorder="1"/>
    <xf numFmtId="0" fontId="28" fillId="4" borderId="30" xfId="20" applyFont="1" applyFill="1" applyBorder="1" applyAlignment="1">
      <alignment horizontal="center" vertical="center"/>
    </xf>
    <xf numFmtId="0" fontId="28" fillId="4" borderId="31" xfId="20" applyFont="1" applyFill="1" applyBorder="1" applyAlignment="1">
      <alignment horizontal="center" vertical="center"/>
    </xf>
    <xf numFmtId="0" fontId="28" fillId="4" borderId="32" xfId="20" applyFont="1" applyFill="1" applyBorder="1" applyAlignment="1">
      <alignment horizontal="center" vertical="center"/>
    </xf>
    <xf numFmtId="0" fontId="5" fillId="8" borderId="41" xfId="20" applyFont="1" applyFill="1" applyBorder="1" applyAlignment="1">
      <alignment vertical="center"/>
    </xf>
    <xf numFmtId="0" fontId="5" fillId="8" borderId="42" xfId="20" applyFont="1" applyFill="1" applyBorder="1" applyAlignment="1">
      <alignment vertical="center"/>
    </xf>
    <xf numFmtId="0" fontId="5" fillId="8" borderId="47" xfId="20" applyFont="1" applyFill="1" applyBorder="1" applyAlignment="1">
      <alignment vertical="center" wrapText="1"/>
    </xf>
    <xf numFmtId="0" fontId="5" fillId="8" borderId="20" xfId="20" applyFont="1" applyFill="1" applyBorder="1" applyAlignment="1">
      <alignment vertical="center" wrapText="1"/>
    </xf>
    <xf numFmtId="0" fontId="5" fillId="8" borderId="47" xfId="20" applyFont="1" applyFill="1" applyBorder="1" applyAlignment="1">
      <alignment vertical="center"/>
    </xf>
    <xf numFmtId="0" fontId="5" fillId="8" borderId="20" xfId="20" applyFont="1" applyFill="1" applyBorder="1" applyAlignment="1">
      <alignment vertical="center"/>
    </xf>
    <xf numFmtId="0" fontId="1" fillId="3" borderId="20" xfId="20" applyFont="1" applyFill="1" applyBorder="1" applyAlignment="1">
      <alignment horizontal="right" vertical="center"/>
    </xf>
    <xf numFmtId="0" fontId="1" fillId="3" borderId="48" xfId="20" applyFont="1" applyFill="1" applyBorder="1" applyAlignment="1">
      <alignment horizontal="right" vertical="center"/>
    </xf>
    <xf numFmtId="0" fontId="1" fillId="3" borderId="42" xfId="20" applyFont="1" applyFill="1" applyBorder="1" applyAlignment="1">
      <alignment horizontal="right" vertical="center"/>
    </xf>
    <xf numFmtId="0" fontId="1" fillId="3" borderId="43" xfId="20" applyFont="1" applyFill="1" applyBorder="1" applyAlignment="1">
      <alignment horizontal="right" vertical="center"/>
    </xf>
    <xf numFmtId="0" fontId="1" fillId="3" borderId="20" xfId="20" applyFont="1" applyFill="1" applyBorder="1" applyAlignment="1">
      <alignment horizontal="right" vertical="center" wrapText="1"/>
    </xf>
    <xf numFmtId="0" fontId="1" fillId="3" borderId="48" xfId="20" applyFont="1" applyFill="1" applyBorder="1" applyAlignment="1">
      <alignment horizontal="right" vertical="center" wrapText="1"/>
    </xf>
    <xf numFmtId="14" fontId="1" fillId="3" borderId="20" xfId="20" applyNumberFormat="1" applyFont="1" applyFill="1" applyBorder="1" applyAlignment="1">
      <alignment horizontal="right" vertical="center"/>
    </xf>
    <xf numFmtId="22" fontId="1" fillId="3" borderId="20" xfId="20" applyNumberFormat="1" applyFont="1" applyFill="1" applyBorder="1" applyAlignment="1">
      <alignment horizontal="right" vertical="center"/>
    </xf>
    <xf numFmtId="0" fontId="1" fillId="3" borderId="20" xfId="19" applyFont="1" applyFill="1" applyBorder="1" applyAlignment="1">
      <alignment horizontal="right" vertical="center"/>
    </xf>
    <xf numFmtId="0" fontId="1" fillId="3" borderId="20" xfId="19" applyFont="1" applyFill="1" applyBorder="1" applyAlignment="1">
      <alignment horizontal="right" vertical="center" wrapText="1"/>
    </xf>
    <xf numFmtId="14" fontId="1" fillId="3" borderId="20" xfId="19" applyNumberFormat="1" applyFont="1" applyFill="1" applyBorder="1" applyAlignment="1">
      <alignment horizontal="right" vertical="center"/>
    </xf>
    <xf numFmtId="0" fontId="28" fillId="4" borderId="30" xfId="19" applyFont="1" applyFill="1" applyBorder="1" applyAlignment="1">
      <alignment horizontal="center" vertical="center"/>
    </xf>
    <xf numFmtId="0" fontId="28" fillId="4" borderId="31" xfId="19" applyFont="1" applyFill="1" applyBorder="1" applyAlignment="1">
      <alignment horizontal="center" vertical="center"/>
    </xf>
    <xf numFmtId="0" fontId="28" fillId="4" borderId="32" xfId="19" applyFont="1" applyFill="1" applyBorder="1" applyAlignment="1">
      <alignment horizontal="center" vertical="center"/>
    </xf>
    <xf numFmtId="0" fontId="1" fillId="3" borderId="42" xfId="19" applyFont="1" applyFill="1" applyBorder="1" applyAlignment="1">
      <alignment horizontal="center" vertical="center"/>
    </xf>
    <xf numFmtId="0" fontId="1" fillId="3" borderId="43" xfId="19" applyFont="1" applyFill="1" applyBorder="1" applyAlignment="1">
      <alignment horizontal="center" vertical="center"/>
    </xf>
    <xf numFmtId="0" fontId="1" fillId="0" borderId="47" xfId="19" applyFont="1" applyFill="1" applyBorder="1"/>
    <xf numFmtId="0" fontId="1" fillId="0" borderId="20" xfId="19" applyFont="1" applyFill="1" applyBorder="1"/>
    <xf numFmtId="0" fontId="1" fillId="0" borderId="48" xfId="19" applyFont="1" applyFill="1" applyBorder="1"/>
    <xf numFmtId="49" fontId="1" fillId="3" borderId="20" xfId="19" applyNumberFormat="1" applyFont="1" applyFill="1" applyBorder="1" applyAlignment="1">
      <alignment horizontal="center" vertical="top"/>
    </xf>
    <xf numFmtId="49" fontId="1" fillId="3" borderId="48" xfId="19" applyNumberFormat="1" applyFont="1" applyFill="1" applyBorder="1" applyAlignment="1">
      <alignment horizontal="center" vertical="top"/>
    </xf>
    <xf numFmtId="0" fontId="6" fillId="7" borderId="20" xfId="19" applyFont="1" applyFill="1" applyBorder="1" applyAlignment="1">
      <alignment horizontal="center" vertical="center"/>
    </xf>
    <xf numFmtId="0" fontId="6" fillId="7" borderId="48" xfId="19" applyFont="1" applyFill="1" applyBorder="1" applyAlignment="1">
      <alignment horizontal="center" vertical="center"/>
    </xf>
    <xf numFmtId="0" fontId="5" fillId="8" borderId="41" xfId="19" applyFont="1" applyFill="1" applyBorder="1" applyAlignment="1">
      <alignment horizontal="left" vertical="center"/>
    </xf>
    <xf numFmtId="0" fontId="5" fillId="8" borderId="42" xfId="19" applyFont="1" applyFill="1" applyBorder="1" applyAlignment="1">
      <alignment horizontal="left" vertical="center"/>
    </xf>
    <xf numFmtId="0" fontId="1" fillId="3" borderId="20" xfId="19" applyFont="1" applyFill="1" applyBorder="1" applyAlignment="1">
      <alignment horizontal="center" vertical="top"/>
    </xf>
    <xf numFmtId="0" fontId="1" fillId="3" borderId="48" xfId="19" applyFont="1" applyFill="1" applyBorder="1" applyAlignment="1">
      <alignment horizontal="right" vertical="center"/>
    </xf>
    <xf numFmtId="0" fontId="1" fillId="3" borderId="48" xfId="19" applyFont="1" applyFill="1" applyBorder="1" applyAlignment="1">
      <alignment horizontal="right" vertical="center" wrapText="1"/>
    </xf>
    <xf numFmtId="14" fontId="1" fillId="3" borderId="48" xfId="19" applyNumberFormat="1" applyFont="1" applyFill="1" applyBorder="1" applyAlignment="1">
      <alignment horizontal="right" vertical="center"/>
    </xf>
    <xf numFmtId="15" fontId="1" fillId="3" borderId="20" xfId="19" applyNumberFormat="1" applyFont="1" applyFill="1" applyBorder="1" applyAlignment="1">
      <alignment horizontal="right" vertical="center"/>
    </xf>
    <xf numFmtId="15" fontId="1" fillId="3" borderId="48" xfId="19" applyNumberFormat="1" applyFont="1" applyFill="1" applyBorder="1" applyAlignment="1">
      <alignment horizontal="right" vertical="center"/>
    </xf>
    <xf numFmtId="22" fontId="1" fillId="3" borderId="20" xfId="19" applyNumberFormat="1" applyFont="1" applyFill="1" applyBorder="1" applyAlignment="1">
      <alignment horizontal="right" vertical="center"/>
    </xf>
    <xf numFmtId="22" fontId="1" fillId="3" borderId="48" xfId="19" applyNumberFormat="1" applyFont="1" applyFill="1" applyBorder="1" applyAlignment="1">
      <alignment horizontal="right" vertical="center"/>
    </xf>
    <xf numFmtId="0" fontId="1" fillId="0" borderId="49" xfId="19" applyFont="1" applyFill="1" applyBorder="1"/>
    <xf numFmtId="0" fontId="1" fillId="0" borderId="50" xfId="19" applyFont="1" applyFill="1" applyBorder="1"/>
    <xf numFmtId="0" fontId="1" fillId="0" borderId="51" xfId="19" applyFont="1" applyFill="1" applyBorder="1"/>
    <xf numFmtId="0" fontId="29" fillId="6" borderId="47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48" xfId="0" applyFont="1" applyFill="1" applyBorder="1" applyAlignment="1">
      <alignment horizontal="center" vertical="center"/>
    </xf>
    <xf numFmtId="0" fontId="5" fillId="8" borderId="41" xfId="0" applyFont="1" applyFill="1" applyBorder="1" applyAlignment="1">
      <alignment horizontal="left" vertical="center"/>
    </xf>
    <xf numFmtId="0" fontId="5" fillId="8" borderId="42" xfId="0" applyFont="1" applyFill="1" applyBorder="1" applyAlignment="1">
      <alignment horizontal="left" vertical="center"/>
    </xf>
    <xf numFmtId="0" fontId="31" fillId="4" borderId="30" xfId="0" applyFont="1" applyFill="1" applyBorder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1" fillId="4" borderId="32" xfId="0" applyFont="1" applyFill="1" applyBorder="1" applyAlignment="1">
      <alignment horizontal="center" vertical="center"/>
    </xf>
    <xf numFmtId="0" fontId="5" fillId="8" borderId="47" xfId="0" applyFont="1" applyFill="1" applyBorder="1" applyAlignment="1">
      <alignment horizontal="left" vertical="center"/>
    </xf>
    <xf numFmtId="0" fontId="5" fillId="8" borderId="20" xfId="0" applyFont="1" applyFill="1" applyBorder="1" applyAlignment="1">
      <alignment horizontal="left" vertical="center"/>
    </xf>
    <xf numFmtId="1" fontId="1" fillId="3" borderId="20" xfId="0" applyNumberFormat="1" applyFont="1" applyFill="1" applyBorder="1" applyAlignment="1">
      <alignment horizontal="right" vertical="center"/>
    </xf>
    <xf numFmtId="1" fontId="1" fillId="3" borderId="48" xfId="0" applyNumberFormat="1" applyFont="1" applyFill="1" applyBorder="1" applyAlignment="1">
      <alignment horizontal="right" vertical="center"/>
    </xf>
    <xf numFmtId="0" fontId="1" fillId="3" borderId="42" xfId="0" applyFont="1" applyFill="1" applyBorder="1" applyAlignment="1">
      <alignment horizontal="right" vertical="center"/>
    </xf>
    <xf numFmtId="0" fontId="1" fillId="3" borderId="43" xfId="0" applyFont="1" applyFill="1" applyBorder="1" applyAlignment="1">
      <alignment horizontal="right" vertical="center"/>
    </xf>
    <xf numFmtId="0" fontId="1" fillId="3" borderId="20" xfId="0" applyFont="1" applyFill="1" applyBorder="1" applyAlignment="1">
      <alignment horizontal="right" vertical="center"/>
    </xf>
    <xf numFmtId="0" fontId="1" fillId="3" borderId="48" xfId="0" applyFont="1" applyFill="1" applyBorder="1" applyAlignment="1">
      <alignment horizontal="right" vertical="center"/>
    </xf>
  </cellXfs>
  <cellStyles count="23">
    <cellStyle name="Comma" xfId="10" builtinId="3"/>
    <cellStyle name="Comma 2" xfId="13" xr:uid="{00000000-0005-0000-0000-000001000000}"/>
    <cellStyle name="Excel Built-in Normal" xfId="14" xr:uid="{1D8AF1C7-FFA2-4BFD-B8C2-25AC534ECF29}"/>
    <cellStyle name="Hyperlink" xfId="15" builtinId="8"/>
    <cellStyle name="Normal" xfId="0" builtinId="0"/>
    <cellStyle name="Normal 2" xfId="1" xr:uid="{00000000-0005-0000-0000-000003000000}"/>
    <cellStyle name="Normal 2 2" xfId="2" xr:uid="{00000000-0005-0000-0000-000004000000}"/>
    <cellStyle name="Normal 2 2 2" xfId="3" xr:uid="{00000000-0005-0000-0000-000005000000}"/>
    <cellStyle name="Normal 2 2 3" xfId="8" xr:uid="{00000000-0005-0000-0000-000006000000}"/>
    <cellStyle name="Normal 2 3" xfId="4" xr:uid="{00000000-0005-0000-0000-000007000000}"/>
    <cellStyle name="Normal 2 4" xfId="7" xr:uid="{00000000-0005-0000-0000-000008000000}"/>
    <cellStyle name="Normal 3" xfId="6" xr:uid="{00000000-0005-0000-0000-000009000000}"/>
    <cellStyle name="Normal 3 2" xfId="16" xr:uid="{3352418C-9F38-4BB5-99A4-CF9233CD6C54}"/>
    <cellStyle name="Normal 3 3" xfId="21" xr:uid="{99CA65D0-9318-4120-ACB7-05902F0497A5}"/>
    <cellStyle name="Normal 4" xfId="12" xr:uid="{00000000-0005-0000-0000-00000A000000}"/>
    <cellStyle name="Normal 4 2" xfId="22" xr:uid="{D27FC6E1-A026-4FDC-825A-EC357BF32D56}"/>
    <cellStyle name="Normal 5" xfId="17" xr:uid="{333D6435-2148-44D2-92EA-997B5D2027EC}"/>
    <cellStyle name="Normal 58" xfId="18" xr:uid="{D0ECCEFE-4FEB-4B6D-B239-7E73F0305A57}"/>
    <cellStyle name="Normal 6" xfId="19" xr:uid="{8F57E8BE-77E7-40D0-A9CC-E56E1E44F217}"/>
    <cellStyle name="Normal 7" xfId="20" xr:uid="{907AF079-EA50-43D9-93D2-6C47B9AE9932}"/>
    <cellStyle name="Percent" xfId="11" builtinId="5"/>
    <cellStyle name="Percent 2 2" xfId="5" xr:uid="{00000000-0005-0000-0000-00000C000000}"/>
    <cellStyle name="Percent 2 3" xfId="9" xr:uid="{00000000-0005-0000-0000-00000D000000}"/>
  </cellStyles>
  <dxfs count="6">
    <dxf>
      <font>
        <b/>
        <i val="0"/>
        <color theme="6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</dxfs>
  <tableStyles count="0" defaultTableStyle="TableStyleMedium9" defaultPivotStyle="PivotStyleLight16"/>
  <colors>
    <mruColors>
      <color rgb="FFEEF3F8"/>
      <color rgb="FFFF3300"/>
      <color rgb="FF181894"/>
      <color rgb="FFF22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C979-2CAE-4C6B-B69D-8ED53F06CB73}">
  <sheetPr codeName="Sheet23">
    <tabColor theme="3" tint="-0.499984740745262"/>
    <pageSetUpPr fitToPage="1"/>
  </sheetPr>
  <dimension ref="B1:H1"/>
  <sheetViews>
    <sheetView showGridLines="0" zoomScaleNormal="100" workbookViewId="0">
      <selection activeCell="C10" sqref="C10"/>
    </sheetView>
  </sheetViews>
  <sheetFormatPr defaultRowHeight="14.25" x14ac:dyDescent="0.25"/>
  <cols>
    <col min="1" max="1" width="3" style="34" customWidth="1"/>
    <col min="2" max="2" width="4.7109375" style="34" customWidth="1"/>
    <col min="3" max="3" width="22.7109375" style="34" customWidth="1"/>
    <col min="4" max="5" width="11.7109375" style="34" customWidth="1"/>
    <col min="6" max="6" width="26.7109375" style="34" customWidth="1"/>
    <col min="7" max="8" width="11.7109375" style="34" customWidth="1"/>
    <col min="9" max="9" width="9.140625" style="34"/>
    <col min="10" max="10" width="46.42578125" style="34" customWidth="1"/>
    <col min="11" max="16384" width="9.140625" style="34"/>
  </cols>
  <sheetData>
    <row r="1" spans="2:8" x14ac:dyDescent="0.25">
      <c r="B1" s="35"/>
      <c r="C1" s="35"/>
      <c r="D1" s="35"/>
      <c r="E1" s="35"/>
      <c r="F1" s="36"/>
      <c r="G1" s="36"/>
      <c r="H1" s="36"/>
    </row>
  </sheetData>
  <pageMargins left="0.7" right="0.7" top="0.75" bottom="0.75" header="0.3" footer="0.3"/>
  <pageSetup paperSize="9" scale="55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C7C67-DB30-4F04-B683-3FD5800F324D}">
  <sheetPr codeName="Sheet22">
    <tabColor theme="3" tint="-0.499984740745262"/>
    <pageSetUpPr fitToPage="1"/>
  </sheetPr>
  <dimension ref="A1:I63"/>
  <sheetViews>
    <sheetView showGridLines="0" showRowColHeaders="0" tabSelected="1" zoomScaleNormal="100" workbookViewId="0">
      <selection activeCell="L12" sqref="L12"/>
    </sheetView>
  </sheetViews>
  <sheetFormatPr defaultRowHeight="14.25" outlineLevelRow="2" x14ac:dyDescent="0.25"/>
  <cols>
    <col min="1" max="1" width="3" style="34" customWidth="1"/>
    <col min="2" max="2" width="4.7109375" style="34" customWidth="1"/>
    <col min="3" max="3" width="22.7109375" style="34" customWidth="1"/>
    <col min="4" max="5" width="11.7109375" style="34" customWidth="1"/>
    <col min="6" max="6" width="26.7109375" style="34" customWidth="1"/>
    <col min="7" max="8" width="11.7109375" style="34" customWidth="1"/>
    <col min="9" max="9" width="9.140625" style="34"/>
    <col min="10" max="12" width="9.140625" style="34" customWidth="1"/>
    <col min="13" max="16384" width="9.140625" style="34"/>
  </cols>
  <sheetData>
    <row r="1" spans="1:9" ht="15" thickBot="1" x14ac:dyDescent="0.3">
      <c r="B1" s="35"/>
      <c r="C1" s="35"/>
      <c r="D1" s="35"/>
      <c r="E1" s="35"/>
      <c r="F1" s="36"/>
      <c r="G1" s="36"/>
      <c r="H1" s="36"/>
    </row>
    <row r="2" spans="1:9" ht="21.75" customHeight="1" thickBot="1" x14ac:dyDescent="0.3">
      <c r="A2" s="37"/>
      <c r="B2" s="199" t="s">
        <v>299</v>
      </c>
      <c r="C2" s="200"/>
      <c r="D2" s="200"/>
      <c r="E2" s="200"/>
      <c r="F2" s="200"/>
      <c r="G2" s="200"/>
      <c r="H2" s="201"/>
      <c r="I2" s="38"/>
    </row>
    <row r="3" spans="1:9" ht="15.75" customHeight="1" x14ac:dyDescent="0.25">
      <c r="A3" s="37"/>
      <c r="B3" s="202" t="s">
        <v>306</v>
      </c>
      <c r="C3" s="203"/>
      <c r="D3" s="204"/>
      <c r="E3" s="205"/>
      <c r="F3" s="152" t="s">
        <v>305</v>
      </c>
      <c r="G3" s="204"/>
      <c r="H3" s="206"/>
      <c r="I3" s="38"/>
    </row>
    <row r="4" spans="1:9" ht="15" customHeight="1" x14ac:dyDescent="0.25">
      <c r="A4" s="37"/>
      <c r="B4" s="194" t="s">
        <v>301</v>
      </c>
      <c r="C4" s="195"/>
      <c r="D4" s="210"/>
      <c r="E4" s="210"/>
      <c r="F4" s="210"/>
      <c r="G4" s="210"/>
      <c r="H4" s="211"/>
      <c r="I4" s="38"/>
    </row>
    <row r="5" spans="1:9" ht="15" customHeight="1" outlineLevel="1" x14ac:dyDescent="0.25">
      <c r="A5" s="37"/>
      <c r="B5" s="194" t="s">
        <v>304</v>
      </c>
      <c r="C5" s="195"/>
      <c r="D5" s="210"/>
      <c r="E5" s="210"/>
      <c r="F5" s="210"/>
      <c r="G5" s="210"/>
      <c r="H5" s="211"/>
      <c r="I5" s="38"/>
    </row>
    <row r="6" spans="1:9" ht="15" customHeight="1" outlineLevel="1" x14ac:dyDescent="0.25">
      <c r="A6" s="37"/>
      <c r="B6" s="194" t="s">
        <v>303</v>
      </c>
      <c r="C6" s="195"/>
      <c r="D6" s="210"/>
      <c r="E6" s="210"/>
      <c r="F6" s="210"/>
      <c r="G6" s="210"/>
      <c r="H6" s="211"/>
      <c r="I6" s="38"/>
    </row>
    <row r="7" spans="1:9" ht="15" customHeight="1" outlineLevel="1" x14ac:dyDescent="0.25">
      <c r="A7" s="37"/>
      <c r="B7" s="194" t="s">
        <v>284</v>
      </c>
      <c r="C7" s="195"/>
      <c r="D7" s="215"/>
      <c r="E7" s="216"/>
      <c r="F7" s="151" t="s">
        <v>309</v>
      </c>
      <c r="G7" s="217"/>
      <c r="H7" s="218"/>
      <c r="I7" s="38"/>
    </row>
    <row r="8" spans="1:9" ht="15" customHeight="1" outlineLevel="1" x14ac:dyDescent="0.25">
      <c r="A8" s="37"/>
      <c r="B8" s="194" t="s">
        <v>328</v>
      </c>
      <c r="C8" s="195"/>
      <c r="D8" s="207">
        <f>GSTIN</f>
        <v>0</v>
      </c>
      <c r="E8" s="208"/>
      <c r="F8" s="151" t="s">
        <v>289</v>
      </c>
      <c r="G8" s="207">
        <f>GSTINStatus</f>
        <v>0</v>
      </c>
      <c r="H8" s="209"/>
      <c r="I8" s="38"/>
    </row>
    <row r="9" spans="1:9" ht="15" customHeight="1" x14ac:dyDescent="0.25">
      <c r="A9" s="37"/>
      <c r="B9" s="194" t="s">
        <v>279</v>
      </c>
      <c r="C9" s="195"/>
      <c r="D9" s="212"/>
      <c r="E9" s="212"/>
      <c r="F9" s="151" t="s">
        <v>290</v>
      </c>
      <c r="G9" s="213" t="str">
        <f ca="1">IF(D9&lt;&gt;"",DATEDIF(D9,TODAY(),"Y")&amp;" Years","")</f>
        <v/>
      </c>
      <c r="H9" s="214"/>
      <c r="I9" s="38"/>
    </row>
    <row r="10" spans="1:9" ht="14.25" customHeight="1" x14ac:dyDescent="0.25">
      <c r="A10" s="37"/>
      <c r="B10" s="194" t="s">
        <v>280</v>
      </c>
      <c r="C10" s="195"/>
      <c r="D10" s="219"/>
      <c r="E10" s="220"/>
      <c r="F10" s="151" t="s">
        <v>300</v>
      </c>
      <c r="G10" s="219"/>
      <c r="H10" s="221"/>
      <c r="I10" s="38"/>
    </row>
    <row r="11" spans="1:9" ht="15" customHeight="1" outlineLevel="1" x14ac:dyDescent="0.25">
      <c r="A11" s="37"/>
      <c r="B11" s="194" t="s">
        <v>310</v>
      </c>
      <c r="C11" s="195"/>
      <c r="D11" s="177">
        <f>CIN</f>
        <v>0</v>
      </c>
      <c r="E11" s="177"/>
      <c r="F11" s="151" t="s">
        <v>289</v>
      </c>
      <c r="G11" s="177">
        <f>CINStatus</f>
        <v>0</v>
      </c>
      <c r="H11" s="178"/>
      <c r="I11" s="38"/>
    </row>
    <row r="12" spans="1:9" ht="15" customHeight="1" outlineLevel="1" x14ac:dyDescent="0.25">
      <c r="A12" s="37"/>
      <c r="B12" s="194" t="s">
        <v>319</v>
      </c>
      <c r="C12" s="195"/>
      <c r="D12" s="165">
        <f>AuthCap</f>
        <v>0</v>
      </c>
      <c r="E12" s="166"/>
      <c r="F12" s="151" t="s">
        <v>320</v>
      </c>
      <c r="G12" s="166">
        <f>PaidUp</f>
        <v>0</v>
      </c>
      <c r="H12" s="167"/>
      <c r="I12" s="38"/>
    </row>
    <row r="13" spans="1:9" ht="31.5" customHeight="1" outlineLevel="1" x14ac:dyDescent="0.25">
      <c r="A13" s="37"/>
      <c r="B13" s="194" t="s">
        <v>311</v>
      </c>
      <c r="C13" s="195"/>
      <c r="D13" s="162">
        <f>RegAdd</f>
        <v>0</v>
      </c>
      <c r="E13" s="163"/>
      <c r="F13" s="163"/>
      <c r="G13" s="163"/>
      <c r="H13" s="164"/>
      <c r="I13" s="38"/>
    </row>
    <row r="14" spans="1:9" ht="15" customHeight="1" outlineLevel="1" x14ac:dyDescent="0.25">
      <c r="A14" s="37"/>
      <c r="B14" s="194" t="s">
        <v>387</v>
      </c>
      <c r="C14" s="195"/>
      <c r="D14" s="168"/>
      <c r="E14" s="169"/>
      <c r="F14" s="169"/>
      <c r="G14" s="169"/>
      <c r="H14" s="170"/>
      <c r="I14" s="38"/>
    </row>
    <row r="15" spans="1:9" ht="15" customHeight="1" outlineLevel="1" x14ac:dyDescent="0.25">
      <c r="A15" s="37"/>
      <c r="B15" s="194" t="s">
        <v>314</v>
      </c>
      <c r="C15" s="195"/>
      <c r="D15" s="168"/>
      <c r="E15" s="169"/>
      <c r="F15" s="169"/>
      <c r="G15" s="169"/>
      <c r="H15" s="170"/>
      <c r="I15" s="38"/>
    </row>
    <row r="16" spans="1:9" ht="76.5" customHeight="1" x14ac:dyDescent="0.25">
      <c r="A16" s="37"/>
      <c r="B16" s="194" t="s">
        <v>291</v>
      </c>
      <c r="C16" s="195"/>
      <c r="D16" s="158"/>
      <c r="E16" s="158"/>
      <c r="F16" s="158"/>
      <c r="G16" s="158"/>
      <c r="H16" s="159"/>
      <c r="I16" s="38"/>
    </row>
    <row r="17" spans="1:9" ht="15" customHeight="1" x14ac:dyDescent="0.25">
      <c r="A17" s="37"/>
      <c r="B17" s="194" t="s">
        <v>293</v>
      </c>
      <c r="C17" s="195"/>
      <c r="D17" s="156"/>
      <c r="E17" s="156"/>
      <c r="F17" s="156"/>
      <c r="G17" s="156"/>
      <c r="H17" s="157"/>
      <c r="I17" s="38"/>
    </row>
    <row r="18" spans="1:9" ht="90.75" customHeight="1" x14ac:dyDescent="0.25">
      <c r="A18" s="37"/>
      <c r="B18" s="194" t="s">
        <v>298</v>
      </c>
      <c r="C18" s="195"/>
      <c r="D18" s="158"/>
      <c r="E18" s="158"/>
      <c r="F18" s="158"/>
      <c r="G18" s="158"/>
      <c r="H18" s="159"/>
      <c r="I18" s="38"/>
    </row>
    <row r="19" spans="1:9" ht="15.75" customHeight="1" thickBot="1" x14ac:dyDescent="0.3">
      <c r="A19" s="37"/>
      <c r="B19" s="186" t="s">
        <v>282</v>
      </c>
      <c r="C19" s="187"/>
      <c r="D19" s="160"/>
      <c r="E19" s="160"/>
      <c r="F19" s="160"/>
      <c r="G19" s="160"/>
      <c r="H19" s="161"/>
      <c r="I19" s="38"/>
    </row>
    <row r="20" spans="1:9" ht="15.75" outlineLevel="1" thickBot="1" x14ac:dyDescent="0.3">
      <c r="A20" s="37"/>
      <c r="B20" s="222" t="s">
        <v>292</v>
      </c>
      <c r="C20" s="223"/>
      <c r="D20" s="223"/>
      <c r="E20" s="223"/>
      <c r="F20" s="223"/>
      <c r="G20" s="223"/>
      <c r="H20" s="224"/>
      <c r="I20" s="38"/>
    </row>
    <row r="21" spans="1:9" ht="15" outlineLevel="1" x14ac:dyDescent="0.25">
      <c r="A21" s="37"/>
      <c r="B21" s="225" t="s">
        <v>326</v>
      </c>
      <c r="C21" s="226"/>
      <c r="D21" s="226"/>
      <c r="E21" s="226"/>
      <c r="F21" s="226"/>
      <c r="G21" s="226"/>
      <c r="H21" s="227"/>
      <c r="I21" s="38"/>
    </row>
    <row r="22" spans="1:9" ht="25.5" hidden="1" outlineLevel="2" x14ac:dyDescent="0.25">
      <c r="A22" s="37"/>
      <c r="B22" s="130" t="s">
        <v>297</v>
      </c>
      <c r="C22" s="131" t="s">
        <v>321</v>
      </c>
      <c r="D22" s="44" t="s">
        <v>322</v>
      </c>
      <c r="E22" s="44" t="s">
        <v>323</v>
      </c>
      <c r="F22" s="44" t="s">
        <v>283</v>
      </c>
      <c r="G22" s="230" t="s">
        <v>287</v>
      </c>
      <c r="H22" s="231"/>
      <c r="I22" s="38"/>
    </row>
    <row r="23" spans="1:9" hidden="1" outlineLevel="2" x14ac:dyDescent="0.25">
      <c r="A23" s="37"/>
      <c r="B23" s="133"/>
      <c r="C23" s="132"/>
      <c r="D23" s="45"/>
      <c r="E23" s="46" t="str">
        <f t="shared" ref="E23:E28" si="0">IFERROR(D23/$D$29,"")</f>
        <v/>
      </c>
      <c r="F23" s="45"/>
      <c r="G23" s="190"/>
      <c r="H23" s="191"/>
      <c r="I23" s="38"/>
    </row>
    <row r="24" spans="1:9" hidden="1" outlineLevel="2" x14ac:dyDescent="0.25">
      <c r="A24" s="37"/>
      <c r="B24" s="133"/>
      <c r="C24" s="132"/>
      <c r="D24" s="45"/>
      <c r="E24" s="46" t="str">
        <f t="shared" si="0"/>
        <v/>
      </c>
      <c r="F24" s="45"/>
      <c r="G24" s="190"/>
      <c r="H24" s="191"/>
      <c r="I24" s="38"/>
    </row>
    <row r="25" spans="1:9" hidden="1" outlineLevel="2" x14ac:dyDescent="0.25">
      <c r="A25" s="37"/>
      <c r="B25" s="133"/>
      <c r="C25" s="132"/>
      <c r="D25" s="45"/>
      <c r="E25" s="46" t="str">
        <f t="shared" si="0"/>
        <v/>
      </c>
      <c r="F25" s="45"/>
      <c r="G25" s="190"/>
      <c r="H25" s="191"/>
      <c r="I25" s="38"/>
    </row>
    <row r="26" spans="1:9" hidden="1" outlineLevel="2" x14ac:dyDescent="0.25">
      <c r="A26" s="37"/>
      <c r="B26" s="133"/>
      <c r="C26" s="132"/>
      <c r="D26" s="45"/>
      <c r="E26" s="46" t="str">
        <f t="shared" si="0"/>
        <v/>
      </c>
      <c r="F26" s="45"/>
      <c r="G26" s="234"/>
      <c r="H26" s="235"/>
      <c r="I26" s="38"/>
    </row>
    <row r="27" spans="1:9" hidden="1" outlineLevel="2" x14ac:dyDescent="0.25">
      <c r="A27" s="37"/>
      <c r="B27" s="133"/>
      <c r="C27" s="132"/>
      <c r="D27" s="45"/>
      <c r="E27" s="46" t="str">
        <f t="shared" si="0"/>
        <v/>
      </c>
      <c r="F27" s="45"/>
      <c r="G27" s="190"/>
      <c r="H27" s="191"/>
      <c r="I27" s="38"/>
    </row>
    <row r="28" spans="1:9" hidden="1" outlineLevel="2" x14ac:dyDescent="0.25">
      <c r="A28" s="37"/>
      <c r="B28" s="133"/>
      <c r="C28" s="132"/>
      <c r="D28" s="76"/>
      <c r="E28" s="46" t="str">
        <f t="shared" si="0"/>
        <v/>
      </c>
      <c r="F28" s="45"/>
      <c r="G28" s="234"/>
      <c r="H28" s="235"/>
      <c r="I28" s="38"/>
    </row>
    <row r="29" spans="1:9" ht="15" hidden="1" customHeight="1" outlineLevel="2" x14ac:dyDescent="0.25">
      <c r="A29" s="37"/>
      <c r="B29" s="228" t="s">
        <v>288</v>
      </c>
      <c r="C29" s="229"/>
      <c r="D29" s="134">
        <f>SUM(D23:D28)</f>
        <v>0</v>
      </c>
      <c r="E29" s="135">
        <f>SUM(E23:E28)</f>
        <v>0</v>
      </c>
      <c r="F29" s="232"/>
      <c r="G29" s="232"/>
      <c r="H29" s="233"/>
      <c r="I29" s="38"/>
    </row>
    <row r="30" spans="1:9" ht="15" outlineLevel="1" collapsed="1" x14ac:dyDescent="0.25">
      <c r="A30" s="37"/>
      <c r="B30" s="181" t="s">
        <v>325</v>
      </c>
      <c r="C30" s="182"/>
      <c r="D30" s="182"/>
      <c r="E30" s="182"/>
      <c r="F30" s="182"/>
      <c r="G30" s="182"/>
      <c r="H30" s="183"/>
      <c r="I30" s="38"/>
    </row>
    <row r="31" spans="1:9" ht="25.5" hidden="1" outlineLevel="2" x14ac:dyDescent="0.25">
      <c r="A31" s="37"/>
      <c r="B31" s="130" t="s">
        <v>297</v>
      </c>
      <c r="C31" s="131" t="s">
        <v>321</v>
      </c>
      <c r="D31" s="44" t="s">
        <v>322</v>
      </c>
      <c r="E31" s="44" t="s">
        <v>323</v>
      </c>
      <c r="F31" s="44" t="s">
        <v>283</v>
      </c>
      <c r="G31" s="230" t="s">
        <v>287</v>
      </c>
      <c r="H31" s="231"/>
      <c r="I31" s="38"/>
    </row>
    <row r="32" spans="1:9" hidden="1" outlineLevel="2" x14ac:dyDescent="0.25">
      <c r="A32" s="37"/>
      <c r="B32" s="133"/>
      <c r="C32" s="132"/>
      <c r="D32" s="45"/>
      <c r="E32" s="46" t="str">
        <f>IFERROR(D32/$D$29,"")</f>
        <v/>
      </c>
      <c r="F32" s="45"/>
      <c r="G32" s="190"/>
      <c r="H32" s="191"/>
      <c r="I32" s="38"/>
    </row>
    <row r="33" spans="1:9" hidden="1" outlineLevel="2" x14ac:dyDescent="0.25">
      <c r="A33" s="37"/>
      <c r="B33" s="133"/>
      <c r="C33" s="132"/>
      <c r="D33" s="45"/>
      <c r="E33" s="46" t="str">
        <f t="shared" ref="E33:E36" si="1">IFERROR(D33/$D$29,"")</f>
        <v/>
      </c>
      <c r="F33" s="45"/>
      <c r="G33" s="190"/>
      <c r="H33" s="191"/>
      <c r="I33" s="38"/>
    </row>
    <row r="34" spans="1:9" hidden="1" outlineLevel="2" x14ac:dyDescent="0.25">
      <c r="A34" s="37"/>
      <c r="B34" s="133"/>
      <c r="C34" s="132"/>
      <c r="D34" s="45"/>
      <c r="E34" s="46" t="str">
        <f t="shared" si="1"/>
        <v/>
      </c>
      <c r="F34" s="45"/>
      <c r="G34" s="190"/>
      <c r="H34" s="191"/>
      <c r="I34" s="38"/>
    </row>
    <row r="35" spans="1:9" hidden="1" outlineLevel="2" x14ac:dyDescent="0.25">
      <c r="A35" s="37"/>
      <c r="B35" s="133"/>
      <c r="C35" s="132"/>
      <c r="D35" s="45"/>
      <c r="E35" s="46" t="str">
        <f t="shared" si="1"/>
        <v/>
      </c>
      <c r="F35" s="45"/>
      <c r="G35" s="234"/>
      <c r="H35" s="235"/>
      <c r="I35" s="38"/>
    </row>
    <row r="36" spans="1:9" hidden="1" outlineLevel="2" x14ac:dyDescent="0.25">
      <c r="A36" s="37"/>
      <c r="B36" s="133"/>
      <c r="C36" s="132"/>
      <c r="D36" s="45"/>
      <c r="E36" s="46" t="str">
        <f t="shared" si="1"/>
        <v/>
      </c>
      <c r="F36" s="45"/>
      <c r="G36" s="190"/>
      <c r="H36" s="191"/>
      <c r="I36" s="38"/>
    </row>
    <row r="37" spans="1:9" hidden="1" outlineLevel="2" x14ac:dyDescent="0.25">
      <c r="A37" s="37"/>
      <c r="B37" s="133"/>
      <c r="C37" s="132"/>
      <c r="D37" s="76"/>
      <c r="E37" s="46" t="str">
        <f>IFERROR(D37/$D$29,"")</f>
        <v/>
      </c>
      <c r="F37" s="45"/>
      <c r="G37" s="234"/>
      <c r="H37" s="235"/>
      <c r="I37" s="38"/>
    </row>
    <row r="38" spans="1:9" ht="15" hidden="1" customHeight="1" outlineLevel="2" x14ac:dyDescent="0.25">
      <c r="A38" s="37"/>
      <c r="B38" s="184" t="s">
        <v>288</v>
      </c>
      <c r="C38" s="185"/>
      <c r="D38" s="129">
        <f>SUM(D32:D37)</f>
        <v>0</v>
      </c>
      <c r="E38" s="77">
        <f>SUM(E32:E37)</f>
        <v>0</v>
      </c>
      <c r="F38" s="192"/>
      <c r="G38" s="192"/>
      <c r="H38" s="193"/>
      <c r="I38" s="38"/>
    </row>
    <row r="39" spans="1:9" ht="15" outlineLevel="1" collapsed="1" x14ac:dyDescent="0.25">
      <c r="A39" s="37"/>
      <c r="B39" s="181" t="s">
        <v>327</v>
      </c>
      <c r="C39" s="182"/>
      <c r="D39" s="182"/>
      <c r="E39" s="182"/>
      <c r="F39" s="182"/>
      <c r="G39" s="182"/>
      <c r="H39" s="183"/>
      <c r="I39" s="38"/>
    </row>
    <row r="40" spans="1:9" ht="25.5" hidden="1" outlineLevel="2" x14ac:dyDescent="0.25">
      <c r="A40" s="37"/>
      <c r="B40" s="136" t="s">
        <v>297</v>
      </c>
      <c r="C40" s="137" t="s">
        <v>321</v>
      </c>
      <c r="D40" s="138" t="s">
        <v>324</v>
      </c>
      <c r="E40" s="138" t="s">
        <v>323</v>
      </c>
      <c r="F40" s="138" t="s">
        <v>283</v>
      </c>
      <c r="G40" s="179" t="s">
        <v>287</v>
      </c>
      <c r="H40" s="180"/>
      <c r="I40" s="38"/>
    </row>
    <row r="41" spans="1:9" hidden="1" outlineLevel="2" x14ac:dyDescent="0.25">
      <c r="A41" s="37"/>
      <c r="B41" s="133"/>
      <c r="C41" s="132"/>
      <c r="D41" s="45"/>
      <c r="E41" s="46" t="str">
        <f>IFERROR(D41/$D$29,"")</f>
        <v/>
      </c>
      <c r="F41" s="45"/>
      <c r="G41" s="190"/>
      <c r="H41" s="191"/>
      <c r="I41" s="38"/>
    </row>
    <row r="42" spans="1:9" hidden="1" outlineLevel="2" x14ac:dyDescent="0.25">
      <c r="A42" s="37"/>
      <c r="B42" s="133"/>
      <c r="C42" s="132"/>
      <c r="D42" s="45"/>
      <c r="E42" s="46" t="str">
        <f t="shared" ref="E42:E45" si="2">IFERROR(D42/$D$29,"")</f>
        <v/>
      </c>
      <c r="F42" s="45"/>
      <c r="G42" s="190"/>
      <c r="H42" s="191"/>
      <c r="I42" s="38"/>
    </row>
    <row r="43" spans="1:9" hidden="1" outlineLevel="2" x14ac:dyDescent="0.25">
      <c r="A43" s="37"/>
      <c r="B43" s="133"/>
      <c r="C43" s="132"/>
      <c r="D43" s="45"/>
      <c r="E43" s="46" t="str">
        <f t="shared" si="2"/>
        <v/>
      </c>
      <c r="F43" s="45"/>
      <c r="G43" s="190"/>
      <c r="H43" s="191"/>
      <c r="I43" s="38"/>
    </row>
    <row r="44" spans="1:9" hidden="1" outlineLevel="2" x14ac:dyDescent="0.25">
      <c r="A44" s="37"/>
      <c r="B44" s="133"/>
      <c r="C44" s="132"/>
      <c r="D44" s="45"/>
      <c r="E44" s="46" t="str">
        <f t="shared" si="2"/>
        <v/>
      </c>
      <c r="F44" s="45"/>
      <c r="G44" s="234"/>
      <c r="H44" s="235"/>
      <c r="I44" s="38"/>
    </row>
    <row r="45" spans="1:9" hidden="1" outlineLevel="2" x14ac:dyDescent="0.25">
      <c r="A45" s="37"/>
      <c r="B45" s="133"/>
      <c r="C45" s="132"/>
      <c r="D45" s="45"/>
      <c r="E45" s="46" t="str">
        <f t="shared" si="2"/>
        <v/>
      </c>
      <c r="F45" s="45"/>
      <c r="G45" s="190"/>
      <c r="H45" s="191"/>
      <c r="I45" s="38"/>
    </row>
    <row r="46" spans="1:9" hidden="1" outlineLevel="2" x14ac:dyDescent="0.25">
      <c r="A46" s="37"/>
      <c r="B46" s="133"/>
      <c r="C46" s="132"/>
      <c r="D46" s="76"/>
      <c r="E46" s="46" t="str">
        <f>IFERROR(D46/$D$29,"")</f>
        <v/>
      </c>
      <c r="F46" s="45"/>
      <c r="G46" s="234"/>
      <c r="H46" s="235"/>
      <c r="I46" s="38"/>
    </row>
    <row r="47" spans="1:9" ht="15" hidden="1" customHeight="1" outlineLevel="2" x14ac:dyDescent="0.25">
      <c r="A47" s="37"/>
      <c r="B47" s="184" t="s">
        <v>288</v>
      </c>
      <c r="C47" s="185"/>
      <c r="D47" s="129">
        <f>SUM(D41:D46)</f>
        <v>0</v>
      </c>
      <c r="E47" s="77">
        <f>SUM(E41:E46)</f>
        <v>0</v>
      </c>
      <c r="F47" s="192"/>
      <c r="G47" s="192"/>
      <c r="H47" s="193"/>
      <c r="I47" s="38"/>
    </row>
    <row r="48" spans="1:9" ht="15" customHeight="1" outlineLevel="1" collapsed="1" thickBot="1" x14ac:dyDescent="0.3">
      <c r="A48" s="37"/>
      <c r="B48" s="186" t="s">
        <v>282</v>
      </c>
      <c r="C48" s="187"/>
      <c r="D48" s="160"/>
      <c r="E48" s="160"/>
      <c r="F48" s="160"/>
      <c r="G48" s="160"/>
      <c r="H48" s="161"/>
      <c r="I48" s="38"/>
    </row>
    <row r="49" spans="1:9" ht="15" thickBot="1" x14ac:dyDescent="0.3">
      <c r="A49" s="37"/>
      <c r="B49" s="139"/>
      <c r="C49" s="140"/>
      <c r="D49" s="140"/>
      <c r="E49" s="140"/>
      <c r="F49" s="140"/>
      <c r="G49" s="140"/>
      <c r="H49" s="141"/>
      <c r="I49" s="38"/>
    </row>
    <row r="50" spans="1:9" ht="15" outlineLevel="1" collapsed="1" x14ac:dyDescent="0.25">
      <c r="A50" s="37"/>
      <c r="B50" s="196" t="s">
        <v>296</v>
      </c>
      <c r="C50" s="197"/>
      <c r="D50" s="197"/>
      <c r="E50" s="197"/>
      <c r="F50" s="197"/>
      <c r="G50" s="197"/>
      <c r="H50" s="198"/>
      <c r="I50" s="38"/>
    </row>
    <row r="51" spans="1:9" ht="15" customHeight="1" outlineLevel="1" x14ac:dyDescent="0.25">
      <c r="A51" s="37"/>
      <c r="B51" s="194" t="s">
        <v>281</v>
      </c>
      <c r="C51" s="195"/>
      <c r="D51" s="188"/>
      <c r="E51" s="188"/>
      <c r="F51" s="40" t="s">
        <v>315</v>
      </c>
      <c r="G51" s="188"/>
      <c r="H51" s="189"/>
      <c r="I51" s="38"/>
    </row>
    <row r="52" spans="1:9" ht="15" customHeight="1" outlineLevel="1" x14ac:dyDescent="0.25">
      <c r="A52" s="37"/>
      <c r="B52" s="194" t="s">
        <v>317</v>
      </c>
      <c r="C52" s="195"/>
      <c r="D52" s="188"/>
      <c r="E52" s="188"/>
      <c r="F52" s="40" t="s">
        <v>318</v>
      </c>
      <c r="G52" s="188"/>
      <c r="H52" s="189"/>
      <c r="I52" s="38"/>
    </row>
    <row r="53" spans="1:9" ht="102.75" customHeight="1" outlineLevel="1" x14ac:dyDescent="0.25">
      <c r="A53" s="37"/>
      <c r="B53" s="194" t="s">
        <v>316</v>
      </c>
      <c r="C53" s="195"/>
      <c r="D53" s="241"/>
      <c r="E53" s="241"/>
      <c r="F53" s="241"/>
      <c r="G53" s="241"/>
      <c r="H53" s="242"/>
      <c r="I53" s="38"/>
    </row>
    <row r="54" spans="1:9" ht="15.75" customHeight="1" outlineLevel="1" thickBot="1" x14ac:dyDescent="0.3">
      <c r="A54" s="37"/>
      <c r="B54" s="186" t="s">
        <v>282</v>
      </c>
      <c r="C54" s="187"/>
      <c r="D54" s="173"/>
      <c r="E54" s="173"/>
      <c r="F54" s="173"/>
      <c r="G54" s="173"/>
      <c r="H54" s="174"/>
      <c r="I54" s="38"/>
    </row>
    <row r="55" spans="1:9" ht="15" thickBot="1" x14ac:dyDescent="0.3">
      <c r="B55" s="35"/>
      <c r="C55" s="35"/>
      <c r="D55" s="35"/>
      <c r="E55" s="35"/>
      <c r="F55" s="35"/>
      <c r="G55" s="39"/>
      <c r="H55" s="39"/>
    </row>
    <row r="56" spans="1:9" ht="15.75" outlineLevel="1" thickBot="1" x14ac:dyDescent="0.3">
      <c r="A56" s="37"/>
      <c r="B56" s="236" t="s">
        <v>401</v>
      </c>
      <c r="C56" s="237"/>
      <c r="D56" s="237"/>
      <c r="E56" s="237"/>
      <c r="F56" s="238"/>
      <c r="G56" s="38"/>
      <c r="I56" s="38"/>
    </row>
    <row r="57" spans="1:9" ht="15" customHeight="1" outlineLevel="1" x14ac:dyDescent="0.25">
      <c r="A57" s="37"/>
      <c r="B57" s="239" t="s">
        <v>302</v>
      </c>
      <c r="C57" s="240"/>
      <c r="D57" s="175"/>
      <c r="E57" s="175"/>
      <c r="F57" s="176"/>
      <c r="G57" s="41"/>
      <c r="I57" s="38"/>
    </row>
    <row r="58" spans="1:9" ht="15" customHeight="1" outlineLevel="1" x14ac:dyDescent="0.25">
      <c r="A58" s="37"/>
      <c r="B58" s="194" t="s">
        <v>307</v>
      </c>
      <c r="C58" s="195"/>
      <c r="D58" s="171">
        <f>G58</f>
        <v>0</v>
      </c>
      <c r="E58" s="171"/>
      <c r="F58" s="172"/>
      <c r="G58" s="41"/>
      <c r="I58" s="38"/>
    </row>
    <row r="59" spans="1:9" ht="15" customHeight="1" outlineLevel="1" x14ac:dyDescent="0.25">
      <c r="A59" s="37"/>
      <c r="B59" s="194" t="s">
        <v>308</v>
      </c>
      <c r="C59" s="195"/>
      <c r="D59" s="171">
        <f>G59</f>
        <v>0</v>
      </c>
      <c r="E59" s="171"/>
      <c r="F59" s="172"/>
      <c r="G59" s="41"/>
      <c r="I59" s="38"/>
    </row>
    <row r="60" spans="1:9" ht="15" customHeight="1" outlineLevel="1" x14ac:dyDescent="0.25">
      <c r="A60" s="37"/>
      <c r="B60" s="194" t="s">
        <v>404</v>
      </c>
      <c r="C60" s="195"/>
      <c r="D60" s="171">
        <f>G60</f>
        <v>0</v>
      </c>
      <c r="E60" s="171"/>
      <c r="F60" s="172"/>
      <c r="G60" s="42"/>
      <c r="I60" s="38"/>
    </row>
    <row r="61" spans="1:9" ht="15.75" customHeight="1" outlineLevel="1" x14ac:dyDescent="0.25">
      <c r="A61" s="37"/>
      <c r="B61" s="194" t="s">
        <v>289</v>
      </c>
      <c r="C61" s="195"/>
      <c r="D61" s="171">
        <f>G61</f>
        <v>0</v>
      </c>
      <c r="E61" s="171"/>
      <c r="F61" s="172"/>
      <c r="G61" s="43"/>
      <c r="I61" s="38"/>
    </row>
    <row r="62" spans="1:9" ht="15" thickBot="1" x14ac:dyDescent="0.3">
      <c r="B62" s="186" t="s">
        <v>309</v>
      </c>
      <c r="C62" s="187"/>
      <c r="D62" s="243">
        <f>G62</f>
        <v>0</v>
      </c>
      <c r="E62" s="243"/>
      <c r="F62" s="244"/>
      <c r="G62" s="153"/>
    </row>
    <row r="63" spans="1:9" x14ac:dyDescent="0.25">
      <c r="B63" s="39"/>
      <c r="C63" s="39"/>
      <c r="D63" s="39"/>
      <c r="E63" s="39"/>
      <c r="F63" s="39"/>
    </row>
  </sheetData>
  <mergeCells count="99">
    <mergeCell ref="D61:F61"/>
    <mergeCell ref="D62:F62"/>
    <mergeCell ref="B60:C60"/>
    <mergeCell ref="D60:F60"/>
    <mergeCell ref="B59:C59"/>
    <mergeCell ref="B61:C61"/>
    <mergeCell ref="B62:C62"/>
    <mergeCell ref="G26:H26"/>
    <mergeCell ref="G28:H28"/>
    <mergeCell ref="G35:H35"/>
    <mergeCell ref="G37:H37"/>
    <mergeCell ref="G44:H44"/>
    <mergeCell ref="G46:H46"/>
    <mergeCell ref="B53:C53"/>
    <mergeCell ref="B54:C54"/>
    <mergeCell ref="B56:F56"/>
    <mergeCell ref="B57:C57"/>
    <mergeCell ref="B58:C58"/>
    <mergeCell ref="D53:H53"/>
    <mergeCell ref="D59:F59"/>
    <mergeCell ref="B19:C19"/>
    <mergeCell ref="B20:H20"/>
    <mergeCell ref="B21:H21"/>
    <mergeCell ref="B29:C29"/>
    <mergeCell ref="B38:C38"/>
    <mergeCell ref="B30:H30"/>
    <mergeCell ref="G34:H34"/>
    <mergeCell ref="G36:H36"/>
    <mergeCell ref="F38:H38"/>
    <mergeCell ref="G22:H22"/>
    <mergeCell ref="G23:H23"/>
    <mergeCell ref="G24:H24"/>
    <mergeCell ref="G25:H25"/>
    <mergeCell ref="G27:H27"/>
    <mergeCell ref="F29:H29"/>
    <mergeCell ref="G31:H31"/>
    <mergeCell ref="B15:C15"/>
    <mergeCell ref="B16:C16"/>
    <mergeCell ref="B17:C17"/>
    <mergeCell ref="B18:C18"/>
    <mergeCell ref="B11:C11"/>
    <mergeCell ref="B12:C12"/>
    <mergeCell ref="B13:C13"/>
    <mergeCell ref="B14:C14"/>
    <mergeCell ref="B2:H2"/>
    <mergeCell ref="B3:C3"/>
    <mergeCell ref="B4:C4"/>
    <mergeCell ref="B5:C5"/>
    <mergeCell ref="B6:C6"/>
    <mergeCell ref="D3:E3"/>
    <mergeCell ref="G3:H3"/>
    <mergeCell ref="D4:H4"/>
    <mergeCell ref="D6:H6"/>
    <mergeCell ref="D5:H5"/>
    <mergeCell ref="G32:H32"/>
    <mergeCell ref="G33:H33"/>
    <mergeCell ref="B50:H50"/>
    <mergeCell ref="D16:H16"/>
    <mergeCell ref="B7:C7"/>
    <mergeCell ref="B8:C8"/>
    <mergeCell ref="B9:C9"/>
    <mergeCell ref="B10:C10"/>
    <mergeCell ref="D8:E8"/>
    <mergeCell ref="G8:H8"/>
    <mergeCell ref="D9:E9"/>
    <mergeCell ref="G9:H9"/>
    <mergeCell ref="D7:E7"/>
    <mergeCell ref="G7:H7"/>
    <mergeCell ref="D10:E10"/>
    <mergeCell ref="G10:H10"/>
    <mergeCell ref="G43:H43"/>
    <mergeCell ref="G45:H45"/>
    <mergeCell ref="F47:H47"/>
    <mergeCell ref="B51:C51"/>
    <mergeCell ref="B52:C52"/>
    <mergeCell ref="D58:F58"/>
    <mergeCell ref="D54:H54"/>
    <mergeCell ref="D57:F57"/>
    <mergeCell ref="D11:E11"/>
    <mergeCell ref="G11:H11"/>
    <mergeCell ref="G40:H40"/>
    <mergeCell ref="B39:H39"/>
    <mergeCell ref="B47:C47"/>
    <mergeCell ref="B48:C48"/>
    <mergeCell ref="D52:E52"/>
    <mergeCell ref="G52:H52"/>
    <mergeCell ref="D51:E51"/>
    <mergeCell ref="G51:H51"/>
    <mergeCell ref="D48:H48"/>
    <mergeCell ref="G41:H41"/>
    <mergeCell ref="G42:H42"/>
    <mergeCell ref="D17:H17"/>
    <mergeCell ref="D18:H18"/>
    <mergeCell ref="D19:H19"/>
    <mergeCell ref="D13:H13"/>
    <mergeCell ref="D12:E12"/>
    <mergeCell ref="G12:H12"/>
    <mergeCell ref="D14:H14"/>
    <mergeCell ref="D15:H15"/>
  </mergeCells>
  <dataValidations count="1">
    <dataValidation type="list" allowBlank="1" showInputMessage="1" showErrorMessage="1" sqref="D10" xr:uid="{6E9257F1-B7E5-4E73-8371-806B72A8E03C}">
      <formula1>"Proprietorship, Partnership, Private Ltd Company, Limited Liablity Partnership, Public Ltd Co, Trust, Society"</formula1>
    </dataValidation>
  </dataValidations>
  <pageMargins left="0.7" right="0.7" top="0.75" bottom="0.75" header="0.3" footer="0.3"/>
  <pageSetup paperSize="9" scale="75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3C57C-D5D1-4BDA-8319-4D067B77C859}">
  <sheetPr codeName="Sheet25">
    <tabColor theme="3" tint="-0.499984740745262"/>
  </sheetPr>
  <dimension ref="B1:F19"/>
  <sheetViews>
    <sheetView showGridLines="0" workbookViewId="0">
      <selection activeCell="B8" sqref="B8:C8"/>
    </sheetView>
  </sheetViews>
  <sheetFormatPr defaultRowHeight="15" x14ac:dyDescent="0.25"/>
  <cols>
    <col min="1" max="1" width="2.42578125" customWidth="1"/>
    <col min="4" max="4" width="13.7109375" customWidth="1"/>
    <col min="5" max="5" width="15.42578125" customWidth="1"/>
    <col min="6" max="6" width="11.7109375" customWidth="1"/>
  </cols>
  <sheetData>
    <row r="1" spans="2:6" ht="15.75" thickBot="1" x14ac:dyDescent="0.3"/>
    <row r="2" spans="2:6" ht="15.75" thickBot="1" x14ac:dyDescent="0.3">
      <c r="B2" s="236" t="s">
        <v>424</v>
      </c>
      <c r="C2" s="237"/>
      <c r="D2" s="237"/>
      <c r="E2" s="237"/>
      <c r="F2" s="238"/>
    </row>
    <row r="3" spans="2:6" x14ac:dyDescent="0.25">
      <c r="B3" s="239" t="s">
        <v>302</v>
      </c>
      <c r="C3" s="240"/>
      <c r="D3" s="175"/>
      <c r="E3" s="175"/>
      <c r="F3" s="176"/>
    </row>
    <row r="4" spans="2:6" x14ac:dyDescent="0.25">
      <c r="B4" s="194" t="s">
        <v>420</v>
      </c>
      <c r="C4" s="195"/>
      <c r="D4" s="175"/>
      <c r="E4" s="175"/>
      <c r="F4" s="176"/>
    </row>
    <row r="5" spans="2:6" x14ac:dyDescent="0.25">
      <c r="B5" s="194" t="s">
        <v>419</v>
      </c>
      <c r="C5" s="195"/>
      <c r="D5" s="171"/>
      <c r="E5" s="171"/>
      <c r="F5" s="172"/>
    </row>
    <row r="6" spans="2:6" x14ac:dyDescent="0.25">
      <c r="B6" s="194" t="s">
        <v>421</v>
      </c>
      <c r="C6" s="195"/>
      <c r="D6" s="171"/>
      <c r="E6" s="171"/>
      <c r="F6" s="172"/>
    </row>
    <row r="7" spans="2:6" x14ac:dyDescent="0.25">
      <c r="B7" s="194" t="s">
        <v>422</v>
      </c>
      <c r="C7" s="195"/>
      <c r="D7" s="245"/>
      <c r="E7" s="245"/>
      <c r="F7" s="246"/>
    </row>
    <row r="8" spans="2:6" x14ac:dyDescent="0.25">
      <c r="B8" s="247" t="s">
        <v>423</v>
      </c>
      <c r="C8" s="248"/>
      <c r="D8" s="249" t="s">
        <v>425</v>
      </c>
      <c r="E8" s="249"/>
      <c r="F8" s="250"/>
    </row>
    <row r="9" spans="2:6" x14ac:dyDescent="0.25">
      <c r="B9" s="251"/>
      <c r="C9" s="252"/>
      <c r="D9" s="253"/>
      <c r="E9" s="253"/>
      <c r="F9" s="254"/>
    </row>
    <row r="10" spans="2:6" x14ac:dyDescent="0.25">
      <c r="B10" s="251"/>
      <c r="C10" s="252"/>
      <c r="D10" s="253"/>
      <c r="E10" s="253"/>
      <c r="F10" s="254"/>
    </row>
    <row r="11" spans="2:6" ht="15.75" thickBot="1" x14ac:dyDescent="0.3">
      <c r="B11" s="186" t="s">
        <v>309</v>
      </c>
      <c r="C11" s="187"/>
      <c r="D11" s="243"/>
      <c r="E11" s="243"/>
      <c r="F11" s="244"/>
    </row>
    <row r="12" spans="2:6" ht="15.75" thickBot="1" x14ac:dyDescent="0.3">
      <c r="B12" s="39"/>
      <c r="C12" s="39"/>
      <c r="D12" s="39"/>
      <c r="E12" s="39"/>
      <c r="F12" s="39"/>
    </row>
    <row r="13" spans="2:6" ht="15.75" thickBot="1" x14ac:dyDescent="0.3">
      <c r="B13" s="236" t="s">
        <v>401</v>
      </c>
      <c r="C13" s="237"/>
      <c r="D13" s="237"/>
      <c r="E13" s="237"/>
      <c r="F13" s="238"/>
    </row>
    <row r="14" spans="2:6" x14ac:dyDescent="0.25">
      <c r="B14" s="239" t="s">
        <v>302</v>
      </c>
      <c r="C14" s="240"/>
      <c r="D14" s="175"/>
      <c r="E14" s="175"/>
      <c r="F14" s="176"/>
    </row>
    <row r="15" spans="2:6" x14ac:dyDescent="0.25">
      <c r="B15" s="194" t="s">
        <v>307</v>
      </c>
      <c r="C15" s="195"/>
      <c r="D15" s="171">
        <f>G15</f>
        <v>0</v>
      </c>
      <c r="E15" s="171"/>
      <c r="F15" s="172"/>
    </row>
    <row r="16" spans="2:6" x14ac:dyDescent="0.25">
      <c r="B16" s="194" t="s">
        <v>308</v>
      </c>
      <c r="C16" s="195"/>
      <c r="D16" s="171">
        <f>G16</f>
        <v>0</v>
      </c>
      <c r="E16" s="171"/>
      <c r="F16" s="172"/>
    </row>
    <row r="17" spans="2:6" x14ac:dyDescent="0.25">
      <c r="B17" s="194" t="s">
        <v>404</v>
      </c>
      <c r="C17" s="195"/>
      <c r="D17" s="171">
        <f>G17</f>
        <v>0</v>
      </c>
      <c r="E17" s="171"/>
      <c r="F17" s="172"/>
    </row>
    <row r="18" spans="2:6" x14ac:dyDescent="0.25">
      <c r="B18" s="194" t="s">
        <v>289</v>
      </c>
      <c r="C18" s="195"/>
      <c r="D18" s="171">
        <f>G18</f>
        <v>0</v>
      </c>
      <c r="E18" s="171"/>
      <c r="F18" s="172"/>
    </row>
    <row r="19" spans="2:6" ht="15.75" thickBot="1" x14ac:dyDescent="0.3">
      <c r="B19" s="186" t="s">
        <v>309</v>
      </c>
      <c r="C19" s="187"/>
      <c r="D19" s="243">
        <f>G19</f>
        <v>0</v>
      </c>
      <c r="E19" s="243"/>
      <c r="F19" s="244"/>
    </row>
  </sheetData>
  <mergeCells count="32">
    <mergeCell ref="B6:C6"/>
    <mergeCell ref="D6:F6"/>
    <mergeCell ref="B4:C4"/>
    <mergeCell ref="D4:F4"/>
    <mergeCell ref="B2:F2"/>
    <mergeCell ref="B3:C3"/>
    <mergeCell ref="D3:F3"/>
    <mergeCell ref="B5:C5"/>
    <mergeCell ref="D5:F5"/>
    <mergeCell ref="B16:C16"/>
    <mergeCell ref="D16:F16"/>
    <mergeCell ref="B7:C7"/>
    <mergeCell ref="D7:F7"/>
    <mergeCell ref="B8:C8"/>
    <mergeCell ref="D8:F8"/>
    <mergeCell ref="B11:C11"/>
    <mergeCell ref="D11:F11"/>
    <mergeCell ref="B9:C9"/>
    <mergeCell ref="D9:F9"/>
    <mergeCell ref="B10:C10"/>
    <mergeCell ref="D10:F10"/>
    <mergeCell ref="B13:F13"/>
    <mergeCell ref="B14:C14"/>
    <mergeCell ref="D14:F14"/>
    <mergeCell ref="B15:C15"/>
    <mergeCell ref="D15:F15"/>
    <mergeCell ref="B17:C17"/>
    <mergeCell ref="D17:F17"/>
    <mergeCell ref="B18:C18"/>
    <mergeCell ref="D18:F18"/>
    <mergeCell ref="B19:C19"/>
    <mergeCell ref="D19:F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6F8BA-76C8-4D55-A192-D715D1DA77FA}">
  <sheetPr codeName="Sheet24">
    <tabColor theme="3" tint="-0.499984740745262"/>
  </sheetPr>
  <dimension ref="B1:I14"/>
  <sheetViews>
    <sheetView showGridLines="0" workbookViewId="0">
      <selection activeCell="E14" sqref="E14"/>
    </sheetView>
  </sheetViews>
  <sheetFormatPr defaultRowHeight="15" x14ac:dyDescent="0.25"/>
  <cols>
    <col min="1" max="1" width="3.140625" customWidth="1"/>
    <col min="2" max="2" width="6.42578125" bestFit="1" customWidth="1"/>
    <col min="3" max="4" width="15.28515625" customWidth="1"/>
    <col min="5" max="5" width="16" customWidth="1"/>
    <col min="6" max="6" width="15.42578125" customWidth="1"/>
    <col min="7" max="7" width="36.28515625" customWidth="1"/>
    <col min="8" max="8" width="12.28515625" customWidth="1"/>
    <col min="9" max="9" width="33.140625" customWidth="1"/>
  </cols>
  <sheetData>
    <row r="1" spans="2:9" ht="15.75" thickBot="1" x14ac:dyDescent="0.3"/>
    <row r="2" spans="2:9" ht="17.25" thickBot="1" x14ac:dyDescent="0.3">
      <c r="B2" s="255" t="s">
        <v>405</v>
      </c>
      <c r="C2" s="256"/>
      <c r="D2" s="256"/>
      <c r="E2" s="256"/>
      <c r="F2" s="256"/>
      <c r="G2" s="256"/>
      <c r="H2" s="256"/>
      <c r="I2" s="257"/>
    </row>
    <row r="3" spans="2:9" x14ac:dyDescent="0.25">
      <c r="B3" s="100" t="s">
        <v>297</v>
      </c>
      <c r="C3" s="101" t="s">
        <v>406</v>
      </c>
      <c r="D3" s="101" t="s">
        <v>407</v>
      </c>
      <c r="E3" s="101" t="s">
        <v>295</v>
      </c>
      <c r="F3" s="101" t="s">
        <v>408</v>
      </c>
      <c r="G3" s="101" t="s">
        <v>411</v>
      </c>
      <c r="H3" s="101" t="s">
        <v>410</v>
      </c>
      <c r="I3" s="102" t="s">
        <v>409</v>
      </c>
    </row>
    <row r="4" spans="2:9" x14ac:dyDescent="0.25">
      <c r="B4" s="85"/>
      <c r="C4" s="86"/>
      <c r="D4" s="86"/>
      <c r="E4" s="86"/>
      <c r="F4" s="87"/>
      <c r="G4" s="87"/>
      <c r="H4" s="87"/>
      <c r="I4" s="154"/>
    </row>
    <row r="5" spans="2:9" ht="15.75" thickBot="1" x14ac:dyDescent="0.3">
      <c r="B5" s="89"/>
      <c r="C5" s="90"/>
      <c r="D5" s="90"/>
      <c r="E5" s="90"/>
      <c r="F5" s="91"/>
      <c r="G5" s="91"/>
      <c r="H5" s="91"/>
      <c r="I5" s="155"/>
    </row>
    <row r="6" spans="2:9" ht="15.75" thickBot="1" x14ac:dyDescent="0.3"/>
    <row r="7" spans="2:9" ht="17.25" thickBot="1" x14ac:dyDescent="0.3">
      <c r="B7" s="255" t="s">
        <v>399</v>
      </c>
      <c r="C7" s="256"/>
      <c r="D7" s="256"/>
      <c r="E7" s="256"/>
      <c r="F7" s="256"/>
      <c r="G7" s="256"/>
      <c r="H7" s="256"/>
      <c r="I7" s="257"/>
    </row>
    <row r="8" spans="2:9" ht="38.25" x14ac:dyDescent="0.25">
      <c r="B8" s="100" t="s">
        <v>297</v>
      </c>
      <c r="C8" s="101" t="s">
        <v>412</v>
      </c>
      <c r="D8" s="101" t="s">
        <v>413</v>
      </c>
      <c r="E8" s="101" t="s">
        <v>414</v>
      </c>
      <c r="F8" s="101" t="s">
        <v>415</v>
      </c>
      <c r="G8" s="101" t="s">
        <v>311</v>
      </c>
      <c r="H8" s="101" t="s">
        <v>418</v>
      </c>
      <c r="I8" s="102" t="s">
        <v>416</v>
      </c>
    </row>
    <row r="9" spans="2:9" x14ac:dyDescent="0.25">
      <c r="B9" s="85"/>
      <c r="C9" s="86"/>
      <c r="D9" s="86"/>
      <c r="E9" s="86"/>
      <c r="F9" s="87"/>
      <c r="G9" s="87"/>
      <c r="H9" s="87"/>
      <c r="I9" s="154"/>
    </row>
    <row r="10" spans="2:9" ht="15.75" thickBot="1" x14ac:dyDescent="0.3">
      <c r="B10" s="89"/>
      <c r="C10" s="90"/>
      <c r="D10" s="90"/>
      <c r="E10" s="90"/>
      <c r="F10" s="91"/>
      <c r="G10" s="91"/>
      <c r="H10" s="91"/>
      <c r="I10" s="155"/>
    </row>
    <row r="14" spans="2:9" x14ac:dyDescent="0.25">
      <c r="B14" t="s">
        <v>417</v>
      </c>
    </row>
  </sheetData>
  <mergeCells count="2">
    <mergeCell ref="B2:I2"/>
    <mergeCell ref="B7:I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7072-26B6-4A0D-8DD5-EC4752C1CA46}">
  <sheetPr codeName="Sheet21">
    <tabColor theme="3" tint="-0.499984740745262"/>
  </sheetPr>
  <dimension ref="B1:J38"/>
  <sheetViews>
    <sheetView showRowColHeaders="0" zoomScaleNormal="100" workbookViewId="0"/>
  </sheetViews>
  <sheetFormatPr defaultRowHeight="14.25" x14ac:dyDescent="0.2"/>
  <cols>
    <col min="1" max="1" width="2.7109375" style="80" customWidth="1"/>
    <col min="2" max="2" width="3.85546875" style="81" customWidth="1"/>
    <col min="3" max="3" width="19.42578125" style="81" customWidth="1"/>
    <col min="4" max="4" width="23.7109375" style="81" customWidth="1"/>
    <col min="5" max="5" width="40.7109375" style="81" customWidth="1"/>
    <col min="6" max="8" width="12.7109375" style="81" customWidth="1"/>
    <col min="9" max="9" width="15.7109375" style="81" customWidth="1"/>
    <col min="10" max="10" width="62.7109375" style="81" customWidth="1"/>
    <col min="11" max="16384" width="9.140625" style="80"/>
  </cols>
  <sheetData>
    <row r="1" spans="2:10" ht="13.5" thickBot="1" x14ac:dyDescent="0.25">
      <c r="B1" s="80"/>
      <c r="C1" s="80"/>
      <c r="D1" s="80"/>
      <c r="E1" s="80"/>
      <c r="F1" s="80"/>
      <c r="G1" s="80"/>
      <c r="H1" s="80"/>
      <c r="I1" s="80"/>
      <c r="J1" s="80"/>
    </row>
    <row r="2" spans="2:10" ht="18.75" thickBot="1" x14ac:dyDescent="0.25">
      <c r="B2" s="263" t="s">
        <v>340</v>
      </c>
      <c r="C2" s="264"/>
      <c r="D2" s="264"/>
      <c r="E2" s="264"/>
      <c r="F2" s="264"/>
      <c r="G2" s="265"/>
      <c r="H2" s="80"/>
      <c r="I2" s="80"/>
      <c r="J2" s="80"/>
    </row>
    <row r="3" spans="2:10" ht="15" customHeight="1" x14ac:dyDescent="0.2">
      <c r="B3" s="266" t="s">
        <v>341</v>
      </c>
      <c r="C3" s="267"/>
      <c r="D3" s="268"/>
      <c r="E3" s="269"/>
      <c r="F3" s="269"/>
      <c r="G3" s="270"/>
      <c r="H3" s="80"/>
      <c r="I3" s="80"/>
      <c r="J3" s="80"/>
    </row>
    <row r="4" spans="2:10" ht="15" customHeight="1" x14ac:dyDescent="0.2">
      <c r="B4" s="258" t="s">
        <v>342</v>
      </c>
      <c r="C4" s="259"/>
      <c r="D4" s="260"/>
      <c r="E4" s="261"/>
      <c r="F4" s="261"/>
      <c r="G4" s="262"/>
      <c r="H4" s="80"/>
      <c r="I4" s="80"/>
      <c r="J4" s="80"/>
    </row>
    <row r="5" spans="2:10" ht="15" customHeight="1" x14ac:dyDescent="0.2">
      <c r="B5" s="258" t="s">
        <v>343</v>
      </c>
      <c r="C5" s="259"/>
      <c r="D5" s="260"/>
      <c r="E5" s="261"/>
      <c r="F5" s="261"/>
      <c r="G5" s="262"/>
      <c r="H5" s="80"/>
      <c r="I5" s="80"/>
      <c r="J5" s="80"/>
    </row>
    <row r="6" spans="2:10" ht="15" customHeight="1" x14ac:dyDescent="0.2">
      <c r="B6" s="258" t="s">
        <v>344</v>
      </c>
      <c r="C6" s="259"/>
      <c r="D6" s="260"/>
      <c r="E6" s="271"/>
      <c r="F6" s="271"/>
      <c r="G6" s="272"/>
      <c r="H6" s="80"/>
      <c r="I6" s="80"/>
      <c r="J6" s="80"/>
    </row>
    <row r="7" spans="2:10" ht="15" customHeight="1" x14ac:dyDescent="0.2">
      <c r="B7" s="258" t="s">
        <v>345</v>
      </c>
      <c r="C7" s="259"/>
      <c r="D7" s="260"/>
      <c r="E7" s="261"/>
      <c r="F7" s="261"/>
      <c r="G7" s="262"/>
      <c r="H7" s="80"/>
      <c r="I7" s="80"/>
      <c r="J7" s="80"/>
    </row>
    <row r="8" spans="2:10" ht="15" customHeight="1" x14ac:dyDescent="0.2">
      <c r="B8" s="258" t="s">
        <v>346</v>
      </c>
      <c r="C8" s="259"/>
      <c r="D8" s="260"/>
      <c r="E8" s="261"/>
      <c r="F8" s="261"/>
      <c r="G8" s="262"/>
      <c r="H8" s="80"/>
      <c r="I8" s="80"/>
      <c r="J8" s="80"/>
    </row>
    <row r="9" spans="2:10" ht="15" customHeight="1" x14ac:dyDescent="0.2">
      <c r="B9" s="258" t="s">
        <v>347</v>
      </c>
      <c r="C9" s="259"/>
      <c r="D9" s="260"/>
      <c r="E9" s="261"/>
      <c r="F9" s="261"/>
      <c r="G9" s="262"/>
      <c r="H9" s="80"/>
      <c r="I9" s="80"/>
      <c r="J9" s="80"/>
    </row>
    <row r="10" spans="2:10" ht="15" customHeight="1" x14ac:dyDescent="0.2">
      <c r="B10" s="258" t="s">
        <v>312</v>
      </c>
      <c r="C10" s="259"/>
      <c r="D10" s="260"/>
      <c r="E10" s="278"/>
      <c r="F10" s="278"/>
      <c r="G10" s="279"/>
      <c r="H10" s="80"/>
      <c r="I10" s="80"/>
      <c r="J10" s="80"/>
    </row>
    <row r="11" spans="2:10" ht="15" customHeight="1" x14ac:dyDescent="0.2">
      <c r="B11" s="258" t="s">
        <v>313</v>
      </c>
      <c r="C11" s="259"/>
      <c r="D11" s="260"/>
      <c r="E11" s="278"/>
      <c r="F11" s="278"/>
      <c r="G11" s="279"/>
      <c r="H11" s="80"/>
      <c r="I11" s="80"/>
      <c r="J11" s="80"/>
    </row>
    <row r="12" spans="2:10" ht="15" customHeight="1" x14ac:dyDescent="0.2">
      <c r="B12" s="258" t="s">
        <v>348</v>
      </c>
      <c r="C12" s="259"/>
      <c r="D12" s="260"/>
      <c r="E12" s="261"/>
      <c r="F12" s="261"/>
      <c r="G12" s="262"/>
      <c r="H12" s="80"/>
      <c r="I12" s="80"/>
      <c r="J12" s="80"/>
    </row>
    <row r="13" spans="2:10" ht="15" customHeight="1" x14ac:dyDescent="0.2">
      <c r="B13" s="258" t="s">
        <v>279</v>
      </c>
      <c r="C13" s="259"/>
      <c r="D13" s="260"/>
      <c r="E13" s="82"/>
      <c r="F13" s="83" t="s">
        <v>349</v>
      </c>
      <c r="G13" s="84" t="str">
        <f ca="1">IF(E13&lt;&gt;"",DATEDIF(E13,TODAY(),"Y")&amp;" Years","")</f>
        <v/>
      </c>
      <c r="H13" s="80"/>
      <c r="I13" s="80"/>
      <c r="J13" s="80"/>
    </row>
    <row r="14" spans="2:10" ht="30" customHeight="1" x14ac:dyDescent="0.2">
      <c r="B14" s="258" t="s">
        <v>350</v>
      </c>
      <c r="C14" s="259"/>
      <c r="D14" s="260"/>
      <c r="E14" s="276"/>
      <c r="F14" s="276"/>
      <c r="G14" s="277"/>
      <c r="H14" s="80"/>
      <c r="I14" s="80"/>
      <c r="J14" s="80"/>
    </row>
    <row r="15" spans="2:10" ht="39" customHeight="1" x14ac:dyDescent="0.2">
      <c r="B15" s="273" t="s">
        <v>351</v>
      </c>
      <c r="C15" s="274"/>
      <c r="D15" s="275"/>
      <c r="E15" s="276"/>
      <c r="F15" s="276"/>
      <c r="G15" s="277"/>
      <c r="H15" s="80"/>
      <c r="I15" s="80"/>
      <c r="J15" s="80"/>
    </row>
    <row r="16" spans="2:10" ht="15" customHeight="1" x14ac:dyDescent="0.2">
      <c r="B16" s="258" t="s">
        <v>352</v>
      </c>
      <c r="C16" s="259"/>
      <c r="D16" s="260"/>
      <c r="E16" s="261"/>
      <c r="F16" s="261"/>
      <c r="G16" s="262"/>
      <c r="H16" s="80"/>
      <c r="I16" s="80"/>
      <c r="J16" s="80"/>
    </row>
    <row r="17" spans="2:10" ht="15" customHeight="1" x14ac:dyDescent="0.2">
      <c r="B17" s="258" t="s">
        <v>353</v>
      </c>
      <c r="C17" s="259"/>
      <c r="D17" s="260"/>
      <c r="E17" s="261"/>
      <c r="F17" s="261"/>
      <c r="G17" s="262"/>
      <c r="H17" s="80"/>
      <c r="I17" s="80"/>
      <c r="J17" s="80"/>
    </row>
    <row r="18" spans="2:10" ht="15" customHeight="1" x14ac:dyDescent="0.2">
      <c r="B18" s="280" t="s">
        <v>403</v>
      </c>
      <c r="C18" s="281"/>
      <c r="D18" s="282"/>
      <c r="E18" s="283"/>
      <c r="F18" s="283"/>
      <c r="G18" s="284"/>
      <c r="H18" s="80"/>
      <c r="I18" s="80"/>
      <c r="J18" s="80"/>
    </row>
    <row r="19" spans="2:10" ht="15" customHeight="1" x14ac:dyDescent="0.2">
      <c r="B19" s="258" t="s">
        <v>354</v>
      </c>
      <c r="C19" s="259"/>
      <c r="D19" s="260"/>
      <c r="E19" s="261"/>
      <c r="F19" s="261"/>
      <c r="G19" s="262"/>
      <c r="H19" s="80"/>
      <c r="I19" s="80"/>
      <c r="J19" s="80"/>
    </row>
    <row r="20" spans="2:10" ht="15" customHeight="1" x14ac:dyDescent="0.2">
      <c r="B20" s="258" t="s">
        <v>355</v>
      </c>
      <c r="C20" s="259"/>
      <c r="D20" s="260"/>
      <c r="E20" s="285"/>
      <c r="F20" s="285"/>
      <c r="G20" s="286"/>
      <c r="H20" s="80"/>
      <c r="I20" s="80"/>
      <c r="J20" s="80"/>
    </row>
    <row r="21" spans="2:10" ht="15" customHeight="1" x14ac:dyDescent="0.2">
      <c r="B21" s="258" t="s">
        <v>356</v>
      </c>
      <c r="C21" s="259"/>
      <c r="D21" s="260"/>
      <c r="E21" s="285"/>
      <c r="F21" s="285"/>
      <c r="G21" s="286"/>
      <c r="H21" s="80"/>
      <c r="I21" s="80"/>
      <c r="J21" s="80"/>
    </row>
    <row r="22" spans="2:10" ht="15" customHeight="1" x14ac:dyDescent="0.2">
      <c r="B22" s="258" t="s">
        <v>357</v>
      </c>
      <c r="C22" s="259"/>
      <c r="D22" s="260"/>
      <c r="E22" s="287"/>
      <c r="F22" s="287"/>
      <c r="G22" s="288"/>
      <c r="H22" s="80"/>
      <c r="I22" s="80"/>
      <c r="J22" s="80"/>
    </row>
    <row r="23" spans="2:10" ht="15" customHeight="1" thickBot="1" x14ac:dyDescent="0.25">
      <c r="B23" s="292" t="s">
        <v>309</v>
      </c>
      <c r="C23" s="293"/>
      <c r="D23" s="294"/>
      <c r="E23" s="295"/>
      <c r="F23" s="296"/>
      <c r="G23" s="297"/>
      <c r="H23" s="80"/>
      <c r="I23" s="80"/>
      <c r="J23" s="80"/>
    </row>
    <row r="24" spans="2:10" ht="15" thickBot="1" x14ac:dyDescent="0.25">
      <c r="H24" s="80"/>
      <c r="I24" s="80"/>
      <c r="J24" s="80"/>
    </row>
    <row r="25" spans="2:10" ht="17.25" thickBot="1" x14ac:dyDescent="0.25">
      <c r="B25" s="255" t="s">
        <v>294</v>
      </c>
      <c r="C25" s="256"/>
      <c r="D25" s="256"/>
      <c r="E25" s="257"/>
      <c r="H25" s="80"/>
      <c r="I25" s="80"/>
      <c r="J25" s="80"/>
    </row>
    <row r="26" spans="2:10" ht="15" customHeight="1" x14ac:dyDescent="0.2">
      <c r="B26" s="298" t="s">
        <v>358</v>
      </c>
      <c r="C26" s="299"/>
      <c r="D26" s="125">
        <f>COUNTIF(_xlnm.Criteria,"-")</f>
        <v>0</v>
      </c>
      <c r="E26" s="98">
        <f>SUMIF(_xlnm.Criteria,"-",Amount)</f>
        <v>0</v>
      </c>
      <c r="H26" s="80"/>
      <c r="I26" s="80"/>
      <c r="J26" s="80"/>
    </row>
    <row r="27" spans="2:10" ht="15" customHeight="1" x14ac:dyDescent="0.2">
      <c r="B27" s="298" t="s">
        <v>359</v>
      </c>
      <c r="C27" s="299"/>
      <c r="D27" s="125">
        <f>COUNTIFS(_xlnm.Criteria,"&lt;&gt;-",_xlnm.Criteria,"&lt;&gt;")</f>
        <v>0</v>
      </c>
      <c r="E27" s="98">
        <f>SUMIF(_xlnm.Criteria,"&lt;&gt;-",Amount)</f>
        <v>0</v>
      </c>
      <c r="H27" s="80"/>
      <c r="I27" s="80"/>
      <c r="J27" s="80"/>
    </row>
    <row r="28" spans="2:10" ht="15" customHeight="1" thickBot="1" x14ac:dyDescent="0.25">
      <c r="B28" s="300" t="s">
        <v>288</v>
      </c>
      <c r="C28" s="301"/>
      <c r="D28" s="126">
        <f>SUM(D26:D27)</f>
        <v>0</v>
      </c>
      <c r="E28" s="99">
        <f>+SUM(E26:E27)</f>
        <v>0</v>
      </c>
      <c r="H28" s="80"/>
      <c r="I28" s="80"/>
      <c r="J28" s="80"/>
    </row>
    <row r="29" spans="2:10" ht="15" thickBot="1" x14ac:dyDescent="0.25">
      <c r="H29" s="80"/>
      <c r="I29" s="80"/>
      <c r="J29" s="80"/>
    </row>
    <row r="30" spans="2:10" ht="17.25" thickBot="1" x14ac:dyDescent="0.25">
      <c r="B30" s="255" t="s">
        <v>360</v>
      </c>
      <c r="C30" s="256"/>
      <c r="D30" s="256"/>
      <c r="E30" s="256"/>
      <c r="F30" s="256"/>
      <c r="G30" s="256"/>
      <c r="H30" s="256"/>
      <c r="I30" s="256"/>
      <c r="J30" s="257"/>
    </row>
    <row r="31" spans="2:10" ht="25.5" x14ac:dyDescent="0.2">
      <c r="B31" s="100" t="s">
        <v>297</v>
      </c>
      <c r="C31" s="101" t="s">
        <v>361</v>
      </c>
      <c r="D31" s="101" t="s">
        <v>362</v>
      </c>
      <c r="E31" s="101" t="s">
        <v>363</v>
      </c>
      <c r="F31" s="101" t="s">
        <v>364</v>
      </c>
      <c r="G31" s="101" t="s">
        <v>365</v>
      </c>
      <c r="H31" s="101" t="s">
        <v>366</v>
      </c>
      <c r="I31" s="101" t="s">
        <v>367</v>
      </c>
      <c r="J31" s="102" t="s">
        <v>283</v>
      </c>
    </row>
    <row r="32" spans="2:10" ht="12.75" x14ac:dyDescent="0.2">
      <c r="B32" s="85"/>
      <c r="C32" s="86"/>
      <c r="D32" s="86"/>
      <c r="E32" s="86"/>
      <c r="F32" s="87"/>
      <c r="G32" s="87"/>
      <c r="H32" s="87"/>
      <c r="I32" s="127"/>
      <c r="J32" s="88"/>
    </row>
    <row r="33" spans="2:10" ht="13.5" thickBot="1" x14ac:dyDescent="0.25">
      <c r="B33" s="89"/>
      <c r="C33" s="90"/>
      <c r="D33" s="90"/>
      <c r="E33" s="90"/>
      <c r="F33" s="91"/>
      <c r="G33" s="91"/>
      <c r="H33" s="91"/>
      <c r="I33" s="128"/>
      <c r="J33" s="92"/>
    </row>
    <row r="34" spans="2:10" ht="15" thickBot="1" x14ac:dyDescent="0.25">
      <c r="J34" s="93"/>
    </row>
    <row r="35" spans="2:10" ht="17.25" thickBot="1" x14ac:dyDescent="0.25">
      <c r="B35" s="289" t="s">
        <v>368</v>
      </c>
      <c r="C35" s="290"/>
      <c r="D35" s="290"/>
      <c r="E35" s="290"/>
      <c r="F35" s="290"/>
      <c r="G35" s="290"/>
      <c r="H35" s="290"/>
      <c r="I35" s="290"/>
      <c r="J35" s="291"/>
    </row>
    <row r="36" spans="2:10" s="103" customFormat="1" ht="25.5" x14ac:dyDescent="0.2">
      <c r="B36" s="100" t="s">
        <v>297</v>
      </c>
      <c r="C36" s="101" t="s">
        <v>333</v>
      </c>
      <c r="D36" s="101" t="s">
        <v>321</v>
      </c>
      <c r="E36" s="101" t="s">
        <v>283</v>
      </c>
      <c r="F36" s="101" t="s">
        <v>369</v>
      </c>
      <c r="G36" s="101" t="s">
        <v>370</v>
      </c>
      <c r="H36" s="101" t="s">
        <v>371</v>
      </c>
      <c r="I36" s="101" t="s">
        <v>372</v>
      </c>
      <c r="J36" s="102" t="s">
        <v>400</v>
      </c>
    </row>
    <row r="37" spans="2:10" ht="12.75" x14ac:dyDescent="0.2">
      <c r="B37" s="94">
        <v>1</v>
      </c>
      <c r="C37" s="95"/>
      <c r="D37" s="86"/>
      <c r="E37" s="86"/>
      <c r="F37" s="86"/>
      <c r="G37" s="87"/>
      <c r="H37" s="86"/>
      <c r="I37" s="87"/>
      <c r="J37" s="88"/>
    </row>
    <row r="38" spans="2:10" ht="13.5" thickBot="1" x14ac:dyDescent="0.25">
      <c r="B38" s="96"/>
      <c r="C38" s="97"/>
      <c r="D38" s="90"/>
      <c r="E38" s="90"/>
      <c r="F38" s="90"/>
      <c r="G38" s="91"/>
      <c r="H38" s="90"/>
      <c r="I38" s="91"/>
      <c r="J38" s="92"/>
    </row>
  </sheetData>
  <mergeCells count="48">
    <mergeCell ref="B30:J30"/>
    <mergeCell ref="B35:J35"/>
    <mergeCell ref="B23:D23"/>
    <mergeCell ref="E23:G23"/>
    <mergeCell ref="B25:E25"/>
    <mergeCell ref="B26:C26"/>
    <mergeCell ref="B27:C27"/>
    <mergeCell ref="B28:C28"/>
    <mergeCell ref="B20:D20"/>
    <mergeCell ref="E20:G20"/>
    <mergeCell ref="B21:D21"/>
    <mergeCell ref="E21:G21"/>
    <mergeCell ref="B22:D22"/>
    <mergeCell ref="E22:G22"/>
    <mergeCell ref="B16:D16"/>
    <mergeCell ref="E16:G16"/>
    <mergeCell ref="B17:D17"/>
    <mergeCell ref="E17:G17"/>
    <mergeCell ref="B19:D19"/>
    <mergeCell ref="E19:G19"/>
    <mergeCell ref="B18:D18"/>
    <mergeCell ref="E18:G18"/>
    <mergeCell ref="B15:D15"/>
    <mergeCell ref="E15:G15"/>
    <mergeCell ref="B9:D9"/>
    <mergeCell ref="E9:G9"/>
    <mergeCell ref="B10:D10"/>
    <mergeCell ref="E10:G10"/>
    <mergeCell ref="B11:D11"/>
    <mergeCell ref="E11:G11"/>
    <mergeCell ref="B12:D12"/>
    <mergeCell ref="E12:G12"/>
    <mergeCell ref="B13:D13"/>
    <mergeCell ref="B14:D14"/>
    <mergeCell ref="E14:G14"/>
    <mergeCell ref="B6:D6"/>
    <mergeCell ref="E6:G6"/>
    <mergeCell ref="B7:D7"/>
    <mergeCell ref="E7:G7"/>
    <mergeCell ref="B8:D8"/>
    <mergeCell ref="E8:G8"/>
    <mergeCell ref="B5:D5"/>
    <mergeCell ref="E5:G5"/>
    <mergeCell ref="B2:G2"/>
    <mergeCell ref="B3:D3"/>
    <mergeCell ref="E3:G3"/>
    <mergeCell ref="B4:D4"/>
    <mergeCell ref="E4:G4"/>
  </mergeCells>
  <pageMargins left="0.7" right="0.7" top="0.75" bottom="0.75" header="0.3" footer="0.3"/>
  <pageSetup paperSize="9" orientation="portrait" horizontalDpi="4294967292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4CF8B-D3CC-49E5-B933-EAC188A4495C}">
  <sheetPr codeName="Sheet18">
    <tabColor theme="3" tint="-0.499984740745262"/>
  </sheetPr>
  <dimension ref="B1:G24"/>
  <sheetViews>
    <sheetView showRowColHeaders="0" workbookViewId="0">
      <selection activeCell="J19" sqref="J19"/>
    </sheetView>
  </sheetViews>
  <sheetFormatPr defaultRowHeight="14.25" x14ac:dyDescent="0.2"/>
  <cols>
    <col min="1" max="1" width="2.7109375" style="78" customWidth="1"/>
    <col min="2" max="2" width="3.7109375" style="78" customWidth="1"/>
    <col min="3" max="3" width="12.7109375" style="63" customWidth="1"/>
    <col min="4" max="4" width="14.7109375" style="63" customWidth="1"/>
    <col min="5" max="5" width="12.7109375" style="63" customWidth="1"/>
    <col min="6" max="6" width="13.7109375" style="63" customWidth="1"/>
    <col min="7" max="7" width="11.7109375" style="63" customWidth="1"/>
    <col min="8" max="16384" width="9.140625" style="78"/>
  </cols>
  <sheetData>
    <row r="1" spans="2:7" s="63" customFormat="1" ht="13.5" thickBot="1" x14ac:dyDescent="0.25"/>
    <row r="2" spans="2:7" ht="21" customHeight="1" thickBot="1" x14ac:dyDescent="0.25">
      <c r="B2" s="302" t="s">
        <v>373</v>
      </c>
      <c r="C2" s="303"/>
      <c r="D2" s="303"/>
      <c r="E2" s="303"/>
      <c r="F2" s="303"/>
      <c r="G2" s="304"/>
    </row>
    <row r="3" spans="2:7" ht="15" customHeight="1" x14ac:dyDescent="0.2">
      <c r="B3" s="305" t="s">
        <v>374</v>
      </c>
      <c r="C3" s="306"/>
      <c r="D3" s="306"/>
      <c r="E3" s="313"/>
      <c r="F3" s="313"/>
      <c r="G3" s="314"/>
    </row>
    <row r="4" spans="2:7" s="79" customFormat="1" ht="28.5" customHeight="1" x14ac:dyDescent="0.2">
      <c r="B4" s="307" t="s">
        <v>375</v>
      </c>
      <c r="C4" s="308"/>
      <c r="D4" s="308"/>
      <c r="E4" s="315"/>
      <c r="F4" s="315"/>
      <c r="G4" s="316"/>
    </row>
    <row r="5" spans="2:7" ht="13.5" customHeight="1" x14ac:dyDescent="0.2">
      <c r="B5" s="309" t="s">
        <v>376</v>
      </c>
      <c r="C5" s="310"/>
      <c r="D5" s="310"/>
      <c r="E5" s="311"/>
      <c r="F5" s="311"/>
      <c r="G5" s="312"/>
    </row>
    <row r="6" spans="2:7" ht="13.5" customHeight="1" x14ac:dyDescent="0.2">
      <c r="B6" s="309" t="s">
        <v>377</v>
      </c>
      <c r="C6" s="310"/>
      <c r="D6" s="310"/>
      <c r="E6" s="311"/>
      <c r="F6" s="311"/>
      <c r="G6" s="312"/>
    </row>
    <row r="7" spans="2:7" ht="13.5" customHeight="1" x14ac:dyDescent="0.2">
      <c r="B7" s="309" t="s">
        <v>378</v>
      </c>
      <c r="C7" s="310"/>
      <c r="D7" s="310"/>
      <c r="E7" s="317"/>
      <c r="F7" s="311"/>
      <c r="G7" s="312"/>
    </row>
    <row r="8" spans="2:7" ht="13.5" customHeight="1" x14ac:dyDescent="0.2">
      <c r="B8" s="309" t="s">
        <v>379</v>
      </c>
      <c r="C8" s="310"/>
      <c r="D8" s="310"/>
      <c r="E8" s="311"/>
      <c r="F8" s="311"/>
      <c r="G8" s="312"/>
    </row>
    <row r="9" spans="2:7" ht="13.5" customHeight="1" x14ac:dyDescent="0.2">
      <c r="B9" s="309" t="s">
        <v>380</v>
      </c>
      <c r="C9" s="310"/>
      <c r="D9" s="310"/>
      <c r="E9" s="311"/>
      <c r="F9" s="311"/>
      <c r="G9" s="312"/>
    </row>
    <row r="10" spans="2:7" ht="13.5" customHeight="1" x14ac:dyDescent="0.2">
      <c r="B10" s="309" t="s">
        <v>381</v>
      </c>
      <c r="C10" s="310"/>
      <c r="D10" s="310"/>
      <c r="E10" s="311"/>
      <c r="F10" s="311"/>
      <c r="G10" s="312"/>
    </row>
    <row r="11" spans="2:7" ht="13.5" customHeight="1" x14ac:dyDescent="0.2">
      <c r="B11" s="309" t="s">
        <v>382</v>
      </c>
      <c r="C11" s="310"/>
      <c r="D11" s="310"/>
      <c r="E11" s="311"/>
      <c r="F11" s="311"/>
      <c r="G11" s="312"/>
    </row>
    <row r="12" spans="2:7" ht="13.5" customHeight="1" x14ac:dyDescent="0.2">
      <c r="B12" s="309" t="s">
        <v>309</v>
      </c>
      <c r="C12" s="310"/>
      <c r="D12" s="310"/>
      <c r="E12" s="318"/>
      <c r="F12" s="311"/>
      <c r="G12" s="312"/>
    </row>
    <row r="13" spans="2:7" x14ac:dyDescent="0.2">
      <c r="B13" s="148"/>
      <c r="C13" s="149"/>
      <c r="D13" s="149"/>
      <c r="E13" s="149"/>
      <c r="F13" s="149"/>
      <c r="G13" s="150"/>
    </row>
    <row r="14" spans="2:7" ht="25.5" x14ac:dyDescent="0.2">
      <c r="B14" s="145" t="s">
        <v>297</v>
      </c>
      <c r="C14" s="64" t="s">
        <v>383</v>
      </c>
      <c r="D14" s="64" t="s">
        <v>384</v>
      </c>
      <c r="E14" s="64" t="s">
        <v>385</v>
      </c>
      <c r="F14" s="64" t="s">
        <v>386</v>
      </c>
      <c r="G14" s="65" t="s">
        <v>289</v>
      </c>
    </row>
    <row r="15" spans="2:7" ht="13.5" customHeight="1" x14ac:dyDescent="0.2">
      <c r="B15" s="146"/>
      <c r="C15" s="66"/>
      <c r="D15" s="66"/>
      <c r="E15" s="66"/>
      <c r="F15" s="67"/>
      <c r="G15" s="68"/>
    </row>
    <row r="16" spans="2:7" ht="13.5" customHeight="1" x14ac:dyDescent="0.2">
      <c r="B16" s="146"/>
      <c r="C16" s="66"/>
      <c r="D16" s="66"/>
      <c r="E16" s="66"/>
      <c r="F16" s="67"/>
      <c r="G16" s="68"/>
    </row>
    <row r="17" spans="2:7" ht="13.5" customHeight="1" x14ac:dyDescent="0.2">
      <c r="B17" s="146"/>
      <c r="C17" s="66"/>
      <c r="D17" s="66"/>
      <c r="E17" s="66"/>
      <c r="F17" s="67"/>
      <c r="G17" s="68"/>
    </row>
    <row r="18" spans="2:7" ht="13.5" customHeight="1" x14ac:dyDescent="0.2">
      <c r="B18" s="146"/>
      <c r="C18" s="66"/>
      <c r="D18" s="66"/>
      <c r="E18" s="66"/>
      <c r="F18" s="67"/>
      <c r="G18" s="68"/>
    </row>
    <row r="19" spans="2:7" ht="13.5" customHeight="1" x14ac:dyDescent="0.2">
      <c r="B19" s="146"/>
      <c r="C19" s="66"/>
      <c r="D19" s="66"/>
      <c r="E19" s="66"/>
      <c r="F19" s="67"/>
      <c r="G19" s="68"/>
    </row>
    <row r="20" spans="2:7" ht="13.5" customHeight="1" x14ac:dyDescent="0.2">
      <c r="B20" s="146"/>
      <c r="C20" s="66"/>
      <c r="D20" s="66"/>
      <c r="E20" s="66"/>
      <c r="F20" s="67"/>
      <c r="G20" s="68"/>
    </row>
    <row r="21" spans="2:7" ht="13.5" customHeight="1" x14ac:dyDescent="0.2">
      <c r="B21" s="146"/>
      <c r="C21" s="66"/>
      <c r="D21" s="66"/>
      <c r="E21" s="66"/>
      <c r="F21" s="67"/>
      <c r="G21" s="68"/>
    </row>
    <row r="22" spans="2:7" ht="13.5" customHeight="1" x14ac:dyDescent="0.2">
      <c r="B22" s="146"/>
      <c r="C22" s="66"/>
      <c r="D22" s="66"/>
      <c r="E22" s="66"/>
      <c r="F22" s="67"/>
      <c r="G22" s="68"/>
    </row>
    <row r="23" spans="2:7" ht="13.5" customHeight="1" x14ac:dyDescent="0.2">
      <c r="B23" s="146"/>
      <c r="C23" s="66"/>
      <c r="D23" s="66"/>
      <c r="E23" s="66"/>
      <c r="F23" s="67"/>
      <c r="G23" s="68"/>
    </row>
    <row r="24" spans="2:7" ht="13.5" customHeight="1" thickBot="1" x14ac:dyDescent="0.25">
      <c r="B24" s="147"/>
      <c r="C24" s="69"/>
      <c r="D24" s="69"/>
      <c r="E24" s="69"/>
      <c r="F24" s="70"/>
      <c r="G24" s="71"/>
    </row>
  </sheetData>
  <mergeCells count="21">
    <mergeCell ref="E7:G7"/>
    <mergeCell ref="E8:G8"/>
    <mergeCell ref="B7:D7"/>
    <mergeCell ref="B8:D8"/>
    <mergeCell ref="E12:G12"/>
    <mergeCell ref="E9:G9"/>
    <mergeCell ref="E10:G10"/>
    <mergeCell ref="E11:G11"/>
    <mergeCell ref="B9:D9"/>
    <mergeCell ref="B10:D10"/>
    <mergeCell ref="B11:D11"/>
    <mergeCell ref="B12:D12"/>
    <mergeCell ref="B2:G2"/>
    <mergeCell ref="B3:D3"/>
    <mergeCell ref="B4:D4"/>
    <mergeCell ref="B5:D5"/>
    <mergeCell ref="B6:D6"/>
    <mergeCell ref="E5:G5"/>
    <mergeCell ref="E3:G3"/>
    <mergeCell ref="E4:G4"/>
    <mergeCell ref="E6:G6"/>
  </mergeCells>
  <pageMargins left="0.7" right="0.7" top="0.75" bottom="0.75" header="0.3" footer="0.3"/>
  <pageSetup paperSize="9" orientation="portrait" horizontalDpi="4294967292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EE86-81E4-48A0-A880-05C90FC0E09E}">
  <sheetPr codeName="Sheet19">
    <tabColor theme="3" tint="-0.499984740745262"/>
  </sheetPr>
  <dimension ref="A1:H16"/>
  <sheetViews>
    <sheetView showRowColHeaders="0" workbookViewId="0">
      <selection activeCell="F9" sqref="F9"/>
    </sheetView>
  </sheetViews>
  <sheetFormatPr defaultRowHeight="12.75" x14ac:dyDescent="0.2"/>
  <cols>
    <col min="1" max="1" width="2.7109375" style="47" customWidth="1"/>
    <col min="2" max="2" width="3.140625" style="47" customWidth="1"/>
    <col min="3" max="3" width="25.7109375" style="47" customWidth="1"/>
    <col min="4" max="5" width="17.7109375" style="47" customWidth="1"/>
    <col min="6" max="6" width="35.42578125" style="47" customWidth="1"/>
    <col min="7" max="8" width="17.7109375" style="47" customWidth="1"/>
    <col min="9" max="9" width="9.140625" style="47" customWidth="1"/>
    <col min="10" max="16384" width="9.140625" style="47"/>
  </cols>
  <sheetData>
    <row r="1" spans="1:8" ht="13.5" thickBot="1" x14ac:dyDescent="0.25"/>
    <row r="2" spans="1:8" ht="21" customHeight="1" thickBot="1" x14ac:dyDescent="0.25">
      <c r="A2" s="48"/>
      <c r="B2" s="322" t="s">
        <v>329</v>
      </c>
      <c r="C2" s="323"/>
      <c r="D2" s="323"/>
      <c r="E2" s="323"/>
      <c r="F2" s="323"/>
      <c r="G2" s="323"/>
      <c r="H2" s="324"/>
    </row>
    <row r="3" spans="1:8" ht="14.25" customHeight="1" x14ac:dyDescent="0.2">
      <c r="B3" s="334" t="s">
        <v>330</v>
      </c>
      <c r="C3" s="335"/>
      <c r="D3" s="325"/>
      <c r="E3" s="325"/>
      <c r="F3" s="49" t="s">
        <v>331</v>
      </c>
      <c r="G3" s="325"/>
      <c r="H3" s="326"/>
    </row>
    <row r="4" spans="1:8" s="51" customFormat="1" ht="4.5" customHeight="1" x14ac:dyDescent="0.2">
      <c r="A4" s="50"/>
      <c r="B4" s="327"/>
      <c r="C4" s="328"/>
      <c r="D4" s="328"/>
      <c r="E4" s="328"/>
      <c r="F4" s="328"/>
      <c r="G4" s="328"/>
      <c r="H4" s="329"/>
    </row>
    <row r="5" spans="1:8" ht="15" customHeight="1" x14ac:dyDescent="0.2">
      <c r="B5" s="144">
        <v>1</v>
      </c>
      <c r="C5" s="143" t="s">
        <v>332</v>
      </c>
      <c r="D5" s="336"/>
      <c r="E5" s="336"/>
      <c r="F5" s="142" t="s">
        <v>402</v>
      </c>
      <c r="G5" s="330"/>
      <c r="H5" s="331"/>
    </row>
    <row r="6" spans="1:8" ht="15" x14ac:dyDescent="0.2">
      <c r="B6" s="52"/>
      <c r="C6" s="53"/>
      <c r="D6" s="332" t="s">
        <v>284</v>
      </c>
      <c r="E6" s="332"/>
      <c r="F6" s="54" t="s">
        <v>285</v>
      </c>
      <c r="G6" s="332" t="s">
        <v>286</v>
      </c>
      <c r="H6" s="333"/>
    </row>
    <row r="7" spans="1:8" ht="17.25" customHeight="1" x14ac:dyDescent="0.2">
      <c r="B7" s="52"/>
      <c r="C7" s="55" t="s">
        <v>334</v>
      </c>
      <c r="D7" s="319"/>
      <c r="E7" s="319"/>
      <c r="F7" s="56"/>
      <c r="G7" s="319"/>
      <c r="H7" s="337"/>
    </row>
    <row r="8" spans="1:8" s="57" customFormat="1" ht="15.75" customHeight="1" x14ac:dyDescent="0.2">
      <c r="B8" s="52"/>
      <c r="C8" s="58" t="s">
        <v>335</v>
      </c>
      <c r="D8" s="320"/>
      <c r="E8" s="320"/>
      <c r="F8" s="59"/>
      <c r="G8" s="320"/>
      <c r="H8" s="338"/>
    </row>
    <row r="9" spans="1:8" ht="15.75" customHeight="1" x14ac:dyDescent="0.2">
      <c r="B9" s="52"/>
      <c r="C9" s="55" t="s">
        <v>336</v>
      </c>
      <c r="D9" s="319"/>
      <c r="E9" s="319"/>
      <c r="F9" s="56"/>
      <c r="G9" s="319"/>
      <c r="H9" s="337"/>
    </row>
    <row r="10" spans="1:8" ht="15.75" customHeight="1" x14ac:dyDescent="0.2">
      <c r="B10" s="52"/>
      <c r="C10" s="55" t="s">
        <v>337</v>
      </c>
      <c r="D10" s="319"/>
      <c r="E10" s="319"/>
      <c r="F10" s="60"/>
      <c r="G10" s="321"/>
      <c r="H10" s="339"/>
    </row>
    <row r="11" spans="1:8" ht="15.75" customHeight="1" x14ac:dyDescent="0.2">
      <c r="B11" s="52"/>
      <c r="C11" s="55" t="s">
        <v>338</v>
      </c>
      <c r="D11" s="321"/>
      <c r="E11" s="321"/>
      <c r="F11" s="60"/>
      <c r="G11" s="321"/>
      <c r="H11" s="339"/>
    </row>
    <row r="12" spans="1:8" ht="15.75" customHeight="1" x14ac:dyDescent="0.2">
      <c r="B12" s="52"/>
      <c r="C12" s="55" t="s">
        <v>283</v>
      </c>
      <c r="D12" s="319"/>
      <c r="E12" s="319"/>
      <c r="F12" s="61"/>
      <c r="G12" s="340"/>
      <c r="H12" s="341"/>
    </row>
    <row r="13" spans="1:8" ht="15.75" customHeight="1" x14ac:dyDescent="0.2">
      <c r="B13" s="52"/>
      <c r="C13" s="55" t="s">
        <v>339</v>
      </c>
      <c r="D13" s="321"/>
      <c r="E13" s="321"/>
      <c r="F13" s="60"/>
      <c r="G13" s="321"/>
      <c r="H13" s="339"/>
    </row>
    <row r="14" spans="1:8" ht="15.75" customHeight="1" x14ac:dyDescent="0.2">
      <c r="B14" s="52"/>
      <c r="C14" s="55" t="s">
        <v>289</v>
      </c>
      <c r="D14" s="319"/>
      <c r="E14" s="319"/>
      <c r="F14" s="62"/>
      <c r="G14" s="342"/>
      <c r="H14" s="343"/>
    </row>
    <row r="15" spans="1:8" ht="15.75" customHeight="1" x14ac:dyDescent="0.2">
      <c r="B15" s="52"/>
      <c r="C15" s="55" t="s">
        <v>309</v>
      </c>
      <c r="D15" s="342"/>
      <c r="E15" s="342"/>
      <c r="F15" s="62"/>
      <c r="G15" s="342"/>
      <c r="H15" s="343"/>
    </row>
    <row r="16" spans="1:8" s="51" customFormat="1" ht="4.5" customHeight="1" thickBot="1" x14ac:dyDescent="0.25">
      <c r="B16" s="344"/>
      <c r="C16" s="345"/>
      <c r="D16" s="345"/>
      <c r="E16" s="345"/>
      <c r="F16" s="345"/>
      <c r="G16" s="345"/>
      <c r="H16" s="346"/>
    </row>
  </sheetData>
  <mergeCells count="28">
    <mergeCell ref="G12:H12"/>
    <mergeCell ref="G13:H13"/>
    <mergeCell ref="G14:H14"/>
    <mergeCell ref="G15:H15"/>
    <mergeCell ref="B16:H16"/>
    <mergeCell ref="D12:E12"/>
    <mergeCell ref="D13:E13"/>
    <mergeCell ref="D14:E14"/>
    <mergeCell ref="D15:E15"/>
    <mergeCell ref="G7:H7"/>
    <mergeCell ref="G8:H8"/>
    <mergeCell ref="G9:H9"/>
    <mergeCell ref="G10:H10"/>
    <mergeCell ref="G11:H11"/>
    <mergeCell ref="B2:H2"/>
    <mergeCell ref="G3:H3"/>
    <mergeCell ref="B4:H4"/>
    <mergeCell ref="G5:H5"/>
    <mergeCell ref="G6:H6"/>
    <mergeCell ref="B3:C3"/>
    <mergeCell ref="D3:E3"/>
    <mergeCell ref="D6:E6"/>
    <mergeCell ref="D5:E5"/>
    <mergeCell ref="D7:E7"/>
    <mergeCell ref="D8:E8"/>
    <mergeCell ref="D9:E9"/>
    <mergeCell ref="D10:E10"/>
    <mergeCell ref="D11:E11"/>
  </mergeCells>
  <conditionalFormatting sqref="D8">
    <cfRule type="expression" dxfId="5" priority="3">
      <formula>$D8&lt;&gt;$D10</formula>
    </cfRule>
  </conditionalFormatting>
  <conditionalFormatting sqref="F8">
    <cfRule type="expression" dxfId="4" priority="2">
      <formula>$F8&lt;&gt;$F10</formula>
    </cfRule>
  </conditionalFormatting>
  <conditionalFormatting sqref="G8">
    <cfRule type="expression" dxfId="3" priority="1">
      <formula>$G8&lt;&gt;$G10</formula>
    </cfRule>
  </conditionalFormatting>
  <dataValidations count="2">
    <dataValidation type="list" allowBlank="1" showInputMessage="1" showErrorMessage="1" sqref="D14 F14:G14" xr:uid="{CECC04A2-F692-4EDB-82C6-50B0499DCA61}">
      <formula1>"Active,In-Active,Not Valid"</formula1>
    </dataValidation>
    <dataValidation type="list" allowBlank="1" showInputMessage="1" showErrorMessage="1" sqref="D7 F7:G7" xr:uid="{624EE5C2-6770-4641-B7A8-B94116CC20CA}">
      <formula1>"Available,Not Available"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118C-D2B0-4B42-AB42-F5C199700DC8}">
  <sheetPr codeName="Sheet14">
    <tabColor theme="3" tint="-0.499984740745262"/>
  </sheetPr>
  <dimension ref="A1:I26"/>
  <sheetViews>
    <sheetView showRowColHeaders="0" workbookViewId="0">
      <selection activeCell="G20" sqref="G20"/>
    </sheetView>
  </sheetViews>
  <sheetFormatPr defaultRowHeight="15" customHeight="1" outlineLevelRow="1" x14ac:dyDescent="0.25"/>
  <cols>
    <col min="1" max="1" width="2.7109375" style="72" customWidth="1"/>
    <col min="2" max="2" width="4.140625" style="72" customWidth="1"/>
    <col min="3" max="3" width="34.28515625" style="72" bestFit="1" customWidth="1"/>
    <col min="4" max="4" width="13.85546875" style="72" customWidth="1"/>
    <col min="5" max="5" width="12.7109375" style="72" customWidth="1"/>
    <col min="6" max="6" width="9.140625" style="72"/>
    <col min="7" max="7" width="25.7109375" style="72" customWidth="1"/>
    <col min="8" max="9" width="10.7109375" style="72" customWidth="1"/>
    <col min="10" max="16384" width="9.140625" style="72"/>
  </cols>
  <sheetData>
    <row r="1" spans="1:9" ht="15" customHeight="1" thickBot="1" x14ac:dyDescent="0.3">
      <c r="B1" s="104"/>
      <c r="C1" s="104"/>
      <c r="D1" s="104"/>
      <c r="E1" s="104"/>
      <c r="F1" s="104"/>
      <c r="G1" s="75"/>
      <c r="H1" s="75"/>
      <c r="I1" s="75"/>
    </row>
    <row r="2" spans="1:9" ht="18.75" outlineLevel="1" thickBot="1" x14ac:dyDescent="0.3">
      <c r="A2" s="73"/>
      <c r="B2" s="352" t="s">
        <v>390</v>
      </c>
      <c r="C2" s="353"/>
      <c r="D2" s="353"/>
      <c r="E2" s="353"/>
      <c r="F2" s="354"/>
      <c r="G2" s="74"/>
    </row>
    <row r="3" spans="1:9" ht="12.75" outlineLevel="1" x14ac:dyDescent="0.25">
      <c r="A3" s="73"/>
      <c r="B3" s="350" t="s">
        <v>393</v>
      </c>
      <c r="C3" s="351"/>
      <c r="D3" s="359"/>
      <c r="E3" s="359"/>
      <c r="F3" s="360"/>
      <c r="G3" s="74"/>
    </row>
    <row r="4" spans="1:9" ht="12.75" outlineLevel="1" x14ac:dyDescent="0.25">
      <c r="A4" s="73"/>
      <c r="B4" s="355" t="s">
        <v>391</v>
      </c>
      <c r="C4" s="356"/>
      <c r="D4" s="357"/>
      <c r="E4" s="357"/>
      <c r="F4" s="358"/>
      <c r="G4" s="74"/>
    </row>
    <row r="5" spans="1:9" ht="12.75" outlineLevel="1" x14ac:dyDescent="0.25">
      <c r="A5" s="73"/>
      <c r="B5" s="355" t="s">
        <v>392</v>
      </c>
      <c r="C5" s="356"/>
      <c r="D5" s="361"/>
      <c r="E5" s="361"/>
      <c r="F5" s="362"/>
      <c r="G5" s="74"/>
    </row>
    <row r="6" spans="1:9" ht="12.75" outlineLevel="1" x14ac:dyDescent="0.25">
      <c r="A6" s="73"/>
      <c r="B6" s="355" t="s">
        <v>394</v>
      </c>
      <c r="C6" s="356"/>
      <c r="D6" s="361"/>
      <c r="E6" s="361"/>
      <c r="F6" s="362"/>
      <c r="G6" s="74"/>
    </row>
    <row r="7" spans="1:9" outlineLevel="1" x14ac:dyDescent="0.25">
      <c r="A7" s="73"/>
      <c r="B7" s="347" t="s">
        <v>395</v>
      </c>
      <c r="C7" s="348"/>
      <c r="D7" s="348"/>
      <c r="E7" s="348"/>
      <c r="F7" s="349"/>
      <c r="G7" s="74"/>
    </row>
    <row r="8" spans="1:9" ht="12.75" outlineLevel="1" x14ac:dyDescent="0.25">
      <c r="A8" s="73"/>
      <c r="B8" s="355" t="s">
        <v>396</v>
      </c>
      <c r="C8" s="356"/>
      <c r="D8" s="357"/>
      <c r="E8" s="357"/>
      <c r="F8" s="358"/>
      <c r="G8" s="74"/>
    </row>
    <row r="9" spans="1:9" ht="12.75" outlineLevel="1" x14ac:dyDescent="0.25">
      <c r="A9" s="73"/>
      <c r="B9" s="355" t="s">
        <v>397</v>
      </c>
      <c r="C9" s="356"/>
      <c r="D9" s="357"/>
      <c r="E9" s="357"/>
      <c r="F9" s="358"/>
      <c r="G9" s="74"/>
    </row>
    <row r="10" spans="1:9" ht="12.75" outlineLevel="1" x14ac:dyDescent="0.25">
      <c r="A10" s="73"/>
      <c r="B10" s="355" t="s">
        <v>398</v>
      </c>
      <c r="C10" s="356"/>
      <c r="D10" s="357"/>
      <c r="E10" s="357"/>
      <c r="F10" s="358"/>
      <c r="G10" s="74"/>
    </row>
    <row r="11" spans="1:9" outlineLevel="1" x14ac:dyDescent="0.25">
      <c r="A11" s="73"/>
      <c r="B11" s="347" t="s">
        <v>388</v>
      </c>
      <c r="C11" s="348"/>
      <c r="D11" s="348"/>
      <c r="E11" s="348"/>
      <c r="F11" s="349"/>
      <c r="G11" s="74"/>
    </row>
    <row r="12" spans="1:9" ht="15" customHeight="1" outlineLevel="1" x14ac:dyDescent="0.25">
      <c r="A12" s="73"/>
      <c r="B12" s="107"/>
      <c r="C12" s="123"/>
      <c r="D12" s="105"/>
      <c r="E12" s="105"/>
      <c r="F12" s="108"/>
      <c r="G12" s="74"/>
    </row>
    <row r="13" spans="1:9" ht="15" customHeight="1" outlineLevel="1" x14ac:dyDescent="0.25">
      <c r="A13" s="73"/>
      <c r="B13" s="109" t="s">
        <v>389</v>
      </c>
      <c r="C13" s="124"/>
      <c r="D13" s="115"/>
      <c r="E13" s="115"/>
      <c r="F13" s="116"/>
      <c r="G13" s="74"/>
    </row>
    <row r="14" spans="1:9" ht="15" customHeight="1" outlineLevel="1" x14ac:dyDescent="0.25">
      <c r="A14" s="73"/>
      <c r="B14" s="109" t="s">
        <v>389</v>
      </c>
      <c r="C14" s="115"/>
      <c r="D14" s="115"/>
      <c r="E14" s="115"/>
      <c r="F14" s="116"/>
      <c r="G14" s="74"/>
    </row>
    <row r="15" spans="1:9" ht="15" customHeight="1" outlineLevel="1" x14ac:dyDescent="0.25">
      <c r="A15" s="73"/>
      <c r="B15" s="110" t="s">
        <v>389</v>
      </c>
      <c r="C15" s="121"/>
      <c r="D15" s="121"/>
      <c r="E15" s="121"/>
      <c r="F15" s="122"/>
      <c r="G15" s="74"/>
    </row>
    <row r="16" spans="1:9" ht="15" customHeight="1" outlineLevel="1" x14ac:dyDescent="0.25">
      <c r="A16" s="73"/>
      <c r="B16" s="111"/>
      <c r="C16" s="106"/>
      <c r="D16" s="106"/>
      <c r="E16" s="106"/>
      <c r="F16" s="112"/>
      <c r="G16" s="74"/>
    </row>
    <row r="17" spans="1:7" ht="15" customHeight="1" outlineLevel="1" x14ac:dyDescent="0.25">
      <c r="A17" s="73"/>
      <c r="B17" s="109" t="s">
        <v>389</v>
      </c>
      <c r="C17" s="115"/>
      <c r="D17" s="115"/>
      <c r="E17" s="115"/>
      <c r="F17" s="116"/>
      <c r="G17" s="74"/>
    </row>
    <row r="18" spans="1:7" ht="15" customHeight="1" outlineLevel="1" x14ac:dyDescent="0.25">
      <c r="A18" s="73"/>
      <c r="B18" s="109" t="s">
        <v>389</v>
      </c>
      <c r="C18" s="115"/>
      <c r="D18" s="115"/>
      <c r="E18" s="115"/>
      <c r="F18" s="116"/>
      <c r="G18" s="74"/>
    </row>
    <row r="19" spans="1:7" ht="15" customHeight="1" outlineLevel="1" x14ac:dyDescent="0.25">
      <c r="A19" s="73"/>
      <c r="B19" s="113" t="s">
        <v>389</v>
      </c>
      <c r="C19" s="117"/>
      <c r="D19" s="117"/>
      <c r="E19" s="117"/>
      <c r="F19" s="118"/>
      <c r="G19" s="74"/>
    </row>
    <row r="20" spans="1:7" ht="13.5" customHeight="1" outlineLevel="1" x14ac:dyDescent="0.25">
      <c r="A20" s="73"/>
      <c r="B20" s="113"/>
      <c r="C20" s="117"/>
      <c r="D20" s="117"/>
      <c r="E20" s="117"/>
      <c r="F20" s="118"/>
      <c r="G20" s="74"/>
    </row>
    <row r="21" spans="1:7" ht="15" customHeight="1" outlineLevel="1" x14ac:dyDescent="0.25">
      <c r="A21" s="73"/>
      <c r="B21" s="109" t="s">
        <v>389</v>
      </c>
      <c r="C21" s="115"/>
      <c r="D21" s="115"/>
      <c r="E21" s="115"/>
      <c r="F21" s="116"/>
      <c r="G21" s="74"/>
    </row>
    <row r="22" spans="1:7" ht="15" customHeight="1" outlineLevel="1" x14ac:dyDescent="0.25">
      <c r="A22" s="73"/>
      <c r="B22" s="109" t="s">
        <v>389</v>
      </c>
      <c r="C22" s="115"/>
      <c r="D22" s="115"/>
      <c r="E22" s="115"/>
      <c r="F22" s="116"/>
      <c r="G22" s="74"/>
    </row>
    <row r="23" spans="1:7" ht="15" customHeight="1" outlineLevel="1" x14ac:dyDescent="0.25">
      <c r="A23" s="73"/>
      <c r="B23" s="109" t="s">
        <v>389</v>
      </c>
      <c r="C23" s="115"/>
      <c r="D23" s="115"/>
      <c r="E23" s="115"/>
      <c r="F23" s="116"/>
      <c r="G23" s="74"/>
    </row>
    <row r="24" spans="1:7" ht="15" customHeight="1" outlineLevel="1" x14ac:dyDescent="0.25">
      <c r="A24" s="73"/>
      <c r="B24" s="109" t="s">
        <v>389</v>
      </c>
      <c r="C24" s="115"/>
      <c r="D24" s="115"/>
      <c r="E24" s="115"/>
      <c r="F24" s="116"/>
      <c r="G24" s="74"/>
    </row>
    <row r="25" spans="1:7" ht="15" customHeight="1" outlineLevel="1" thickBot="1" x14ac:dyDescent="0.3">
      <c r="A25" s="73"/>
      <c r="B25" s="114"/>
      <c r="C25" s="119"/>
      <c r="D25" s="119"/>
      <c r="E25" s="119"/>
      <c r="F25" s="120"/>
      <c r="G25" s="74"/>
    </row>
    <row r="26" spans="1:7" ht="15" customHeight="1" x14ac:dyDescent="0.25">
      <c r="B26" s="75"/>
      <c r="C26" s="75"/>
      <c r="D26" s="75"/>
      <c r="E26" s="75"/>
      <c r="F26" s="75"/>
    </row>
  </sheetData>
  <mergeCells count="17">
    <mergeCell ref="D10:F10"/>
    <mergeCell ref="B11:F11"/>
    <mergeCell ref="B3:C3"/>
    <mergeCell ref="B2:F2"/>
    <mergeCell ref="B7:F7"/>
    <mergeCell ref="B8:C8"/>
    <mergeCell ref="D8:F8"/>
    <mergeCell ref="B9:C9"/>
    <mergeCell ref="B4:C4"/>
    <mergeCell ref="B5:C5"/>
    <mergeCell ref="B6:C6"/>
    <mergeCell ref="D3:F3"/>
    <mergeCell ref="D4:F4"/>
    <mergeCell ref="D5:F5"/>
    <mergeCell ref="D6:F6"/>
    <mergeCell ref="D9:F9"/>
    <mergeCell ref="B10:C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20"/>
  <sheetViews>
    <sheetView workbookViewId="0">
      <selection activeCell="E14" sqref="E14"/>
    </sheetView>
  </sheetViews>
  <sheetFormatPr defaultRowHeight="12.75" x14ac:dyDescent="0.2"/>
  <cols>
    <col min="1" max="1" width="26.42578125" style="1" bestFit="1" customWidth="1"/>
    <col min="2" max="2" width="19.28515625" style="1" bestFit="1" customWidth="1"/>
    <col min="3" max="3" width="9.140625" style="1"/>
    <col min="4" max="4" width="10.140625" style="1" bestFit="1" customWidth="1"/>
    <col min="5" max="16384" width="9.140625" style="1"/>
  </cols>
  <sheetData>
    <row r="1" spans="1:4" x14ac:dyDescent="0.2">
      <c r="B1" s="1" t="s">
        <v>154</v>
      </c>
      <c r="C1" s="1" t="s">
        <v>155</v>
      </c>
      <c r="D1" s="1" t="s">
        <v>156</v>
      </c>
    </row>
    <row r="2" spans="1:4" ht="13.5" thickBot="1" x14ac:dyDescent="0.25">
      <c r="A2" s="10" t="s">
        <v>169</v>
      </c>
      <c r="B2" s="1" t="e">
        <f>aud_opinion</f>
        <v>#REF!</v>
      </c>
    </row>
    <row r="3" spans="1:4" ht="13.5" thickBot="1" x14ac:dyDescent="0.25">
      <c r="A3" s="10" t="s">
        <v>157</v>
      </c>
      <c r="B3" s="1" t="e">
        <f>IF(dcpd=0,999.99,IF(dcpd="",999.99,dcpd))</f>
        <v>#REF!</v>
      </c>
    </row>
    <row r="4" spans="1:4" ht="13.5" thickBot="1" x14ac:dyDescent="0.25">
      <c r="A4" s="10" t="s">
        <v>185</v>
      </c>
      <c r="B4" s="1" t="e">
        <f>IF(gearing=0,999.99,IF(gearing="",999.99,IF(gearing&lt;0,100,gearing)))</f>
        <v>#REF!</v>
      </c>
    </row>
    <row r="5" spans="1:4" ht="13.5" thickBot="1" x14ac:dyDescent="0.25">
      <c r="A5" s="10" t="s">
        <v>149</v>
      </c>
      <c r="B5" s="1" t="e">
        <f>IF(icr=0,999.99,IF(icr="",999.99,icr))</f>
        <v>#REF!</v>
      </c>
    </row>
    <row r="6" spans="1:4" ht="13.5" thickBot="1" x14ac:dyDescent="0.25">
      <c r="A6" s="10" t="s">
        <v>158</v>
      </c>
      <c r="B6" s="1" t="e">
        <f>IF(itpd&lt;=0,999.99,IF(itpd="",999.99,itpd))</f>
        <v>#REF!</v>
      </c>
    </row>
    <row r="7" spans="1:4" ht="13.5" thickBot="1" x14ac:dyDescent="0.25">
      <c r="A7" s="10" t="s">
        <v>159</v>
      </c>
      <c r="B7" s="7" t="e">
        <f ca="1">LN((TODAY()-date_established)/365.25)</f>
        <v>#REF!</v>
      </c>
      <c r="D7" s="1" t="e">
        <f ca="1">(TODAY()-date_established)/365.25</f>
        <v>#REF!</v>
      </c>
    </row>
    <row r="8" spans="1:4" ht="13.5" thickBot="1" x14ac:dyDescent="0.25">
      <c r="A8" s="10" t="s">
        <v>160</v>
      </c>
      <c r="B8" s="1" t="e">
        <f>IF(net_sales=0,999.99,IF(net_sales="",999.99,net_sales))</f>
        <v>#REF!</v>
      </c>
    </row>
    <row r="9" spans="1:4" ht="13.5" thickBot="1" x14ac:dyDescent="0.25">
      <c r="A9" s="10" t="s">
        <v>161</v>
      </c>
      <c r="B9" s="1" t="e">
        <f>IF(op_margin="",999.99,IF(op_margin=999,999.99,op_margin))</f>
        <v>#REF!</v>
      </c>
    </row>
    <row r="10" spans="1:4" ht="13.5" thickBot="1" x14ac:dyDescent="0.25">
      <c r="A10" s="10" t="s">
        <v>162</v>
      </c>
      <c r="B10" s="1" t="e">
        <f>IF(quick_ratio&lt;=0,999.99,IF(quick_ratio="",999.99,quick_ratio))</f>
        <v>#REF!</v>
      </c>
    </row>
    <row r="11" spans="1:4" ht="13.5" thickBot="1" x14ac:dyDescent="0.25">
      <c r="A11" s="10" t="s">
        <v>150</v>
      </c>
      <c r="B11" s="1" t="e">
        <f>IF(roce=0,999.99,IF(roce="",999.99,roce))</f>
        <v>#REF!</v>
      </c>
    </row>
    <row r="12" spans="1:4" ht="13.5" thickBot="1" x14ac:dyDescent="0.25">
      <c r="A12" s="10" t="s">
        <v>163</v>
      </c>
      <c r="B12" s="1" t="e">
        <f>IF(solvency=0,999.99,IF(solvency="",999.99,solvency))</f>
        <v>#REF!</v>
      </c>
    </row>
    <row r="13" spans="1:4" ht="13.5" thickBot="1" x14ac:dyDescent="0.25">
      <c r="A13" s="10" t="s">
        <v>164</v>
      </c>
      <c r="B13" s="25" t="e">
        <f ca="1">MAX(1,ROUND((TODAY()-statmnt_date)/30.5,0))</f>
        <v>#REF!</v>
      </c>
      <c r="D13" s="26"/>
    </row>
    <row r="14" spans="1:4" ht="13.5" thickBot="1" x14ac:dyDescent="0.25">
      <c r="A14" s="10" t="s">
        <v>165</v>
      </c>
      <c r="B14" s="1" t="e">
        <f>IF(turn_growth=0,999.99,IF(turn_growth="",999.99,turn_growth))</f>
        <v>#REF!</v>
      </c>
    </row>
    <row r="16" spans="1:4" ht="15.75" customHeight="1" x14ac:dyDescent="0.2">
      <c r="A16" s="1" t="s">
        <v>151</v>
      </c>
      <c r="B16" s="1" t="str">
        <f>IFERROR(VLOOKUP(branch_code,'drop-off tables'!D2:F76,3,FALSE),"")</f>
        <v/>
      </c>
    </row>
    <row r="18" spans="1:2" x14ac:dyDescent="0.2">
      <c r="A18" s="1" t="s">
        <v>186</v>
      </c>
      <c r="B18" s="1" t="e">
        <f>IF(AppScore&gt;'score mapping'!C2,'score mapping'!A2,IF(AppScore&gt;'score mapping'!C3,'score mapping'!A3,IF(AppScore&gt;'score mapping'!C4,'score mapping'!A4,IF(AppScore&gt;'score mapping'!C5,'score mapping'!A5,IF(AppScore&gt;'score mapping'!C6,'score mapping'!A6,IF(AppScore&gt;'score mapping'!C7,'score mapping'!A7,IF(AppScore&gt;'score mapping'!C8,'score mapping'!A8,IF(AppScore&gt;'score mapping'!C9,'score mapping'!A9,IF(AppScore&gt;'score mapping'!C10,'score mapping'!A10,IF(AppScore&gt;'score mapping'!C11,'score mapping'!A11,IF(AppScore&gt;'score mapping'!C12,'score mapping'!A12,IF(AppScore&gt;'score mapping'!C13,'score mapping'!A13,IF(AppScore&gt;'score mapping'!C14,'score mapping'!A14,'score mapping'!A15)))))))))))))</f>
        <v>#REF!</v>
      </c>
    </row>
    <row r="19" spans="1:2" x14ac:dyDescent="0.2">
      <c r="A19" s="1" t="s">
        <v>187</v>
      </c>
      <c r="B19" s="1" t="e">
        <f>INDEX('score mapping'!A2:D15,MATCH(MIN(VLOOKUP(B18,'score mapping'!A2:D15,4,FALSE)+VLOOKUP(#REF!,'drop-off tables'!H2:I7,2,FALSE),14),'score mapping'!D2:D15,0),1)</f>
        <v>#REF!</v>
      </c>
    </row>
    <row r="20" spans="1:2" x14ac:dyDescent="0.2">
      <c r="A20" s="1" t="s">
        <v>147</v>
      </c>
      <c r="B20" s="23" t="e">
        <f>VLOOKUP(B19,'score mapping'!A2:E15,5,FALSE)</f>
        <v>#REF!</v>
      </c>
    </row>
  </sheetData>
  <sheetProtection algorithmName="SHA-512" hashValue="3PM8KtichXgN0J2ZI8ELwa5pagvEseH4xZ4+0AvV3ucK8XZX9BG8GMxBD9OCuLnAqDeJhAbXNpb1jkdNa6qTag==" saltValue="/oqom/bO2sRMYyffrNfiig==" spinCount="100000" sheet="1" objects="1" scenarios="1"/>
  <pageMargins left="0.7" right="0.7" top="0.75" bottom="0.75" header="0.3" footer="0.3"/>
  <pageSetup paperSize="9" orientation="portrait" horizontalDpi="204" verticalDpi="196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68"/>
  <sheetViews>
    <sheetView workbookViewId="0">
      <selection activeCell="B11" sqref="B11"/>
    </sheetView>
  </sheetViews>
  <sheetFormatPr defaultRowHeight="12.75" x14ac:dyDescent="0.2"/>
  <cols>
    <col min="1" max="1" width="20.42578125" style="1" bestFit="1" customWidth="1"/>
    <col min="2" max="16384" width="9.140625" style="1"/>
  </cols>
  <sheetData>
    <row r="1" spans="1:3" x14ac:dyDescent="0.2">
      <c r="A1" s="5" t="s">
        <v>1</v>
      </c>
      <c r="B1" s="2" t="s">
        <v>183</v>
      </c>
      <c r="C1" s="4" t="s">
        <v>184</v>
      </c>
    </row>
    <row r="2" spans="1:3" x14ac:dyDescent="0.2">
      <c r="A2" s="5" t="s">
        <v>58</v>
      </c>
      <c r="B2" s="3">
        <v>999.99</v>
      </c>
      <c r="C2" s="5">
        <v>-0.50346279264060656</v>
      </c>
    </row>
    <row r="3" spans="1:3" x14ac:dyDescent="0.2">
      <c r="A3" s="5" t="s">
        <v>59</v>
      </c>
      <c r="B3" s="3">
        <v>34</v>
      </c>
      <c r="C3" s="5">
        <v>0.56393602036471002</v>
      </c>
    </row>
    <row r="4" spans="1:3" x14ac:dyDescent="0.2">
      <c r="A4" s="5" t="s">
        <v>60</v>
      </c>
      <c r="B4" s="3">
        <v>68</v>
      </c>
      <c r="C4" s="5">
        <v>0.2941299281527634</v>
      </c>
    </row>
    <row r="5" spans="1:3" x14ac:dyDescent="0.2">
      <c r="A5" s="5" t="s">
        <v>61</v>
      </c>
      <c r="B5" s="3">
        <v>146</v>
      </c>
      <c r="C5" s="5">
        <v>0.26526832336793671</v>
      </c>
    </row>
    <row r="6" spans="1:3" x14ac:dyDescent="0.2">
      <c r="A6" s="5" t="s">
        <v>62</v>
      </c>
      <c r="B6" s="3">
        <v>186</v>
      </c>
      <c r="C6" s="5">
        <v>-1.8929161056749182E-2</v>
      </c>
    </row>
    <row r="7" spans="1:3" x14ac:dyDescent="0.2">
      <c r="A7" s="5" t="s">
        <v>63</v>
      </c>
      <c r="C7" s="5">
        <v>-0.45931267159642863</v>
      </c>
    </row>
    <row r="8" spans="1:3" x14ac:dyDescent="0.2">
      <c r="A8" s="5" t="s">
        <v>64</v>
      </c>
      <c r="B8" s="3">
        <v>999.99</v>
      </c>
      <c r="C8" s="5">
        <v>0.2786453400450048</v>
      </c>
    </row>
    <row r="9" spans="1:3" x14ac:dyDescent="0.2">
      <c r="A9" s="5" t="s">
        <v>65</v>
      </c>
      <c r="B9" s="3">
        <v>0.71</v>
      </c>
      <c r="C9" s="5">
        <v>0.22442645425635205</v>
      </c>
    </row>
    <row r="10" spans="1:3" x14ac:dyDescent="0.2">
      <c r="A10" s="5" t="s">
        <v>66</v>
      </c>
      <c r="B10" s="3">
        <v>3.06</v>
      </c>
      <c r="C10" s="5">
        <v>-0.14463826198555335</v>
      </c>
    </row>
    <row r="11" spans="1:3" x14ac:dyDescent="0.2">
      <c r="A11" s="5" t="s">
        <v>67</v>
      </c>
      <c r="C11" s="5">
        <v>-0.68147178128770114</v>
      </c>
    </row>
    <row r="12" spans="1:3" x14ac:dyDescent="0.2">
      <c r="A12" s="5" t="s">
        <v>69</v>
      </c>
      <c r="B12" s="3">
        <v>999.99</v>
      </c>
      <c r="C12" s="5">
        <v>-0.29812186375662181</v>
      </c>
    </row>
    <row r="13" spans="1:3" x14ac:dyDescent="0.2">
      <c r="A13" s="5" t="s">
        <v>70</v>
      </c>
      <c r="B13" s="3">
        <v>2.2000000000000002</v>
      </c>
      <c r="C13" s="5">
        <v>-0.31745605136546967</v>
      </c>
    </row>
    <row r="14" spans="1:3" x14ac:dyDescent="0.2">
      <c r="A14" s="5" t="s">
        <v>71</v>
      </c>
      <c r="B14" s="3">
        <v>3.6</v>
      </c>
      <c r="C14" s="5">
        <v>-3.7025642309009045E-2</v>
      </c>
    </row>
    <row r="15" spans="1:3" x14ac:dyDescent="0.2">
      <c r="A15" s="5" t="s">
        <v>72</v>
      </c>
      <c r="B15" s="3">
        <v>46.9</v>
      </c>
      <c r="C15" s="5">
        <v>0.71874775174386796</v>
      </c>
    </row>
    <row r="16" spans="1:3" x14ac:dyDescent="0.2">
      <c r="A16" s="5" t="s">
        <v>73</v>
      </c>
      <c r="C16" s="5">
        <v>1.8922148331218669</v>
      </c>
    </row>
    <row r="17" spans="1:4" x14ac:dyDescent="0.2">
      <c r="A17" s="5" t="s">
        <v>75</v>
      </c>
      <c r="B17" s="3">
        <v>999.99</v>
      </c>
      <c r="C17" s="5">
        <v>0.22544512410224335</v>
      </c>
    </row>
    <row r="18" spans="1:4" x14ac:dyDescent="0.2">
      <c r="A18" s="5" t="s">
        <v>76</v>
      </c>
      <c r="B18" s="3">
        <v>70</v>
      </c>
      <c r="C18" s="5">
        <v>0.10093098815961517</v>
      </c>
    </row>
    <row r="19" spans="1:4" x14ac:dyDescent="0.2">
      <c r="A19" s="5" t="s">
        <v>77</v>
      </c>
      <c r="B19" s="3">
        <v>93</v>
      </c>
      <c r="C19" s="5">
        <v>-4.8002700940159876E-2</v>
      </c>
    </row>
    <row r="20" spans="1:4" x14ac:dyDescent="0.2">
      <c r="A20" s="5" t="s">
        <v>78</v>
      </c>
      <c r="B20" s="3">
        <v>283</v>
      </c>
      <c r="C20" s="5">
        <v>-0.41188256867134559</v>
      </c>
    </row>
    <row r="21" spans="1:4" x14ac:dyDescent="0.2">
      <c r="A21" s="5" t="s">
        <v>79</v>
      </c>
      <c r="B21" s="3">
        <v>561</v>
      </c>
      <c r="C21" s="5">
        <v>-0.75784476007227519</v>
      </c>
    </row>
    <row r="22" spans="1:4" x14ac:dyDescent="0.2">
      <c r="A22" s="5" t="s">
        <v>80</v>
      </c>
      <c r="C22" s="5">
        <v>-0.88578016719267672</v>
      </c>
    </row>
    <row r="23" spans="1:4" x14ac:dyDescent="0.2">
      <c r="A23" s="5" t="s">
        <v>81</v>
      </c>
      <c r="B23" s="3">
        <v>1.79</v>
      </c>
      <c r="C23" s="5">
        <v>-0.39456627386912208</v>
      </c>
      <c r="D23" s="1">
        <f>EXP(B23)</f>
        <v>5.9894524663831135</v>
      </c>
    </row>
    <row r="24" spans="1:4" x14ac:dyDescent="0.2">
      <c r="A24" s="5" t="s">
        <v>82</v>
      </c>
      <c r="B24" s="3">
        <v>1.95</v>
      </c>
      <c r="C24" s="5">
        <v>-0.14676253256663405</v>
      </c>
      <c r="D24" s="1">
        <f>EXP(B24)</f>
        <v>7.0286875805892928</v>
      </c>
    </row>
    <row r="25" spans="1:4" x14ac:dyDescent="0.2">
      <c r="A25" s="5" t="s">
        <v>83</v>
      </c>
      <c r="B25" s="3">
        <v>3.5300000000000002</v>
      </c>
      <c r="C25" s="5">
        <v>3.0289911547308687E-2</v>
      </c>
      <c r="D25" s="1">
        <f>EXP(B25)</f>
        <v>34.12396761475437</v>
      </c>
    </row>
    <row r="26" spans="1:4" x14ac:dyDescent="0.2">
      <c r="A26" s="5" t="s">
        <v>84</v>
      </c>
      <c r="B26" s="3">
        <v>4.28</v>
      </c>
      <c r="C26" s="5">
        <v>0.31593060544889523</v>
      </c>
      <c r="D26" s="1">
        <f>EXP(B26)</f>
        <v>72.240440007325375</v>
      </c>
    </row>
    <row r="27" spans="1:4" x14ac:dyDescent="0.2">
      <c r="A27" s="5" t="s">
        <v>85</v>
      </c>
      <c r="C27" s="5">
        <v>0.74386045255894317</v>
      </c>
    </row>
    <row r="28" spans="1:4" x14ac:dyDescent="0.2">
      <c r="A28" s="5" t="s">
        <v>87</v>
      </c>
      <c r="B28" s="3">
        <v>999.99</v>
      </c>
      <c r="C28" s="5">
        <v>-0.67495710026650768</v>
      </c>
    </row>
    <row r="29" spans="1:4" x14ac:dyDescent="0.2">
      <c r="A29" s="5" t="s">
        <v>88</v>
      </c>
      <c r="B29" s="3">
        <v>3</v>
      </c>
      <c r="C29" s="5">
        <v>-0.4497660597128485</v>
      </c>
    </row>
    <row r="30" spans="1:4" x14ac:dyDescent="0.2">
      <c r="A30" s="5" t="s">
        <v>89</v>
      </c>
      <c r="B30" s="3">
        <v>35</v>
      </c>
      <c r="C30" s="5">
        <v>4.6425020811198578E-2</v>
      </c>
    </row>
    <row r="31" spans="1:4" x14ac:dyDescent="0.2">
      <c r="A31" s="5" t="s">
        <v>90</v>
      </c>
      <c r="B31" s="3">
        <v>45</v>
      </c>
      <c r="C31" s="5">
        <v>0.18384458460218073</v>
      </c>
    </row>
    <row r="32" spans="1:4" x14ac:dyDescent="0.2">
      <c r="A32" s="5" t="s">
        <v>91</v>
      </c>
      <c r="B32" s="3">
        <v>260</v>
      </c>
      <c r="C32" s="5">
        <v>0.38145483391122564</v>
      </c>
    </row>
    <row r="33" spans="1:3" x14ac:dyDescent="0.2">
      <c r="A33" s="5" t="s">
        <v>92</v>
      </c>
      <c r="C33" s="5">
        <v>1.2181050760619332</v>
      </c>
    </row>
    <row r="34" spans="1:3" x14ac:dyDescent="0.2">
      <c r="A34" s="5" t="s">
        <v>93</v>
      </c>
      <c r="B34" s="3">
        <v>999.99</v>
      </c>
      <c r="C34" s="5">
        <v>0</v>
      </c>
    </row>
    <row r="35" spans="1:3" x14ac:dyDescent="0.2">
      <c r="A35" s="5" t="s">
        <v>94</v>
      </c>
      <c r="B35" s="3">
        <v>-5.0999999999999996</v>
      </c>
      <c r="C35" s="5">
        <v>-0.4962106719394716</v>
      </c>
    </row>
    <row r="36" spans="1:3" x14ac:dyDescent="0.2">
      <c r="A36" s="5" t="s">
        <v>95</v>
      </c>
      <c r="B36" s="3">
        <v>3.3000000000000003</v>
      </c>
      <c r="C36" s="5">
        <v>-0.25597912631803604</v>
      </c>
    </row>
    <row r="37" spans="1:3" x14ac:dyDescent="0.2">
      <c r="A37" s="5" t="s">
        <v>96</v>
      </c>
      <c r="B37" s="3">
        <v>9.31</v>
      </c>
      <c r="C37" s="5">
        <v>0.26560215745549703</v>
      </c>
    </row>
    <row r="38" spans="1:3" x14ac:dyDescent="0.2">
      <c r="A38" s="5" t="s">
        <v>97</v>
      </c>
      <c r="B38" s="3">
        <v>16.3</v>
      </c>
      <c r="C38" s="5">
        <v>0.59370179400122225</v>
      </c>
    </row>
    <row r="39" spans="1:3" x14ac:dyDescent="0.2">
      <c r="A39" s="5" t="s">
        <v>98</v>
      </c>
      <c r="C39" s="5">
        <v>1.1563011744035327</v>
      </c>
    </row>
    <row r="40" spans="1:3" x14ac:dyDescent="0.2">
      <c r="A40" s="5" t="s">
        <v>99</v>
      </c>
      <c r="B40" s="3">
        <v>999.99</v>
      </c>
      <c r="C40" s="5">
        <v>-0.58039851764149486</v>
      </c>
    </row>
    <row r="41" spans="1:3" x14ac:dyDescent="0.2">
      <c r="A41" s="5" t="s">
        <v>100</v>
      </c>
      <c r="B41" s="3">
        <v>0.78</v>
      </c>
      <c r="C41" s="5">
        <v>-0.52485602215136018</v>
      </c>
    </row>
    <row r="42" spans="1:3" x14ac:dyDescent="0.2">
      <c r="A42" s="5" t="s">
        <v>101</v>
      </c>
      <c r="B42" s="3">
        <v>0.96</v>
      </c>
      <c r="C42" s="5">
        <v>-0.26742800793749177</v>
      </c>
    </row>
    <row r="43" spans="1:3" x14ac:dyDescent="0.2">
      <c r="A43" s="5" t="s">
        <v>102</v>
      </c>
      <c r="B43" s="3">
        <v>1.1000000000000001</v>
      </c>
      <c r="C43" s="5">
        <v>-1.3505300327653307E-2</v>
      </c>
    </row>
    <row r="44" spans="1:3" x14ac:dyDescent="0.2">
      <c r="A44" s="5" t="s">
        <v>103</v>
      </c>
      <c r="B44" s="3">
        <v>1.29</v>
      </c>
      <c r="C44" s="5">
        <v>0.45083077378056691</v>
      </c>
    </row>
    <row r="45" spans="1:3" x14ac:dyDescent="0.2">
      <c r="A45" s="5" t="s">
        <v>104</v>
      </c>
      <c r="C45" s="5">
        <v>0.85495450006452989</v>
      </c>
    </row>
    <row r="46" spans="1:3" x14ac:dyDescent="0.2">
      <c r="A46" s="5" t="s">
        <v>106</v>
      </c>
      <c r="B46" s="3">
        <v>999.99</v>
      </c>
      <c r="C46" s="5">
        <v>-8.3504070120810403E-2</v>
      </c>
    </row>
    <row r="47" spans="1:3" x14ac:dyDescent="0.2">
      <c r="A47" s="5" t="s">
        <v>107</v>
      </c>
      <c r="B47" s="3">
        <v>4</v>
      </c>
      <c r="C47" s="5">
        <v>-0.42340315102637255</v>
      </c>
    </row>
    <row r="48" spans="1:3" x14ac:dyDescent="0.2">
      <c r="A48" s="5" t="s">
        <v>108</v>
      </c>
      <c r="B48" s="3">
        <v>5.7</v>
      </c>
      <c r="C48" s="5">
        <v>-7.0325056378058151E-2</v>
      </c>
    </row>
    <row r="49" spans="1:3" x14ac:dyDescent="0.2">
      <c r="A49" s="5" t="s">
        <v>109</v>
      </c>
      <c r="B49" s="3">
        <v>18.3</v>
      </c>
      <c r="C49" s="5">
        <v>0.46382903903768485</v>
      </c>
    </row>
    <row r="50" spans="1:3" x14ac:dyDescent="0.2">
      <c r="A50" s="5" t="s">
        <v>110</v>
      </c>
      <c r="B50" s="3"/>
      <c r="C50" s="5">
        <v>1.0461848017475943</v>
      </c>
    </row>
    <row r="51" spans="1:3" x14ac:dyDescent="0.2">
      <c r="A51" s="5" t="s">
        <v>113</v>
      </c>
      <c r="B51" s="3">
        <v>999.99</v>
      </c>
      <c r="C51" s="5">
        <v>-0.27779079497303821</v>
      </c>
    </row>
    <row r="52" spans="1:3" x14ac:dyDescent="0.2">
      <c r="A52" s="5" t="s">
        <v>114</v>
      </c>
      <c r="B52" s="3">
        <v>5.94</v>
      </c>
      <c r="C52" s="5">
        <v>-0.6251921021264415</v>
      </c>
    </row>
    <row r="53" spans="1:3" x14ac:dyDescent="0.2">
      <c r="A53" s="5" t="s">
        <v>115</v>
      </c>
      <c r="B53" s="3">
        <v>18.989999999999998</v>
      </c>
      <c r="C53" s="5">
        <v>-0.25147348665566477</v>
      </c>
    </row>
    <row r="54" spans="1:3" x14ac:dyDescent="0.2">
      <c r="A54" s="5" t="s">
        <v>116</v>
      </c>
      <c r="B54" s="3">
        <v>30</v>
      </c>
      <c r="C54" s="5">
        <v>0.15162755415761903</v>
      </c>
    </row>
    <row r="55" spans="1:3" x14ac:dyDescent="0.2">
      <c r="A55" s="5" t="s">
        <v>117</v>
      </c>
      <c r="B55" s="3">
        <v>39</v>
      </c>
      <c r="C55" s="5">
        <v>0.72263681610731656</v>
      </c>
    </row>
    <row r="56" spans="1:3" x14ac:dyDescent="0.2">
      <c r="A56" s="5" t="s">
        <v>118</v>
      </c>
      <c r="C56" s="5">
        <v>1.1327895920270079</v>
      </c>
    </row>
    <row r="57" spans="1:3" x14ac:dyDescent="0.2">
      <c r="A57" s="5" t="s">
        <v>119</v>
      </c>
      <c r="B57" s="3">
        <v>999.99</v>
      </c>
      <c r="C57" s="5">
        <v>5.7490256278021672E-2</v>
      </c>
    </row>
    <row r="58" spans="1:3" x14ac:dyDescent="0.2">
      <c r="A58" s="5" t="s">
        <v>120</v>
      </c>
      <c r="B58" s="3">
        <v>62.4</v>
      </c>
      <c r="C58" s="5">
        <v>-0.41849067707617338</v>
      </c>
    </row>
    <row r="59" spans="1:3" x14ac:dyDescent="0.2">
      <c r="A59" s="5" t="s">
        <v>121</v>
      </c>
      <c r="B59" s="3">
        <v>77.599999999999994</v>
      </c>
      <c r="C59" s="5">
        <v>-0.12841339389843764</v>
      </c>
    </row>
    <row r="60" spans="1:3" x14ac:dyDescent="0.2">
      <c r="A60" s="5" t="s">
        <v>122</v>
      </c>
      <c r="B60" s="3">
        <v>94.42</v>
      </c>
      <c r="C60" s="5">
        <v>-8.24087084467281E-3</v>
      </c>
    </row>
    <row r="61" spans="1:3" x14ac:dyDescent="0.2">
      <c r="A61" s="5" t="s">
        <v>123</v>
      </c>
      <c r="C61" s="5">
        <v>3.0775570645663435E-2</v>
      </c>
    </row>
    <row r="62" spans="1:3" ht="15" x14ac:dyDescent="0.25">
      <c r="A62" s="1" t="s">
        <v>170</v>
      </c>
      <c r="B62" s="1" t="s">
        <v>130</v>
      </c>
      <c r="C62" s="20">
        <v>0.65362886106834017</v>
      </c>
    </row>
    <row r="63" spans="1:3" ht="15" x14ac:dyDescent="0.25">
      <c r="A63" s="1" t="s">
        <v>171</v>
      </c>
      <c r="B63" s="1" t="s">
        <v>131</v>
      </c>
      <c r="C63" s="20">
        <v>-0.85438660577542691</v>
      </c>
    </row>
    <row r="64" spans="1:3" ht="15" x14ac:dyDescent="0.25">
      <c r="A64" s="1" t="s">
        <v>172</v>
      </c>
      <c r="B64" s="1" t="s">
        <v>132</v>
      </c>
      <c r="C64" s="20">
        <v>-0.2236528821009621</v>
      </c>
    </row>
    <row r="65" spans="1:3" ht="15" x14ac:dyDescent="0.25">
      <c r="A65" s="1" t="s">
        <v>173</v>
      </c>
      <c r="B65" s="1">
        <v>11</v>
      </c>
      <c r="C65" s="19">
        <v>0.72643025003990203</v>
      </c>
    </row>
    <row r="66" spans="1:3" ht="15" x14ac:dyDescent="0.25">
      <c r="A66" s="1" t="s">
        <v>174</v>
      </c>
      <c r="B66" s="1">
        <v>17</v>
      </c>
      <c r="C66" s="19">
        <v>0.18012897946831288</v>
      </c>
    </row>
    <row r="67" spans="1:3" ht="15" x14ac:dyDescent="0.25">
      <c r="A67" s="1" t="s">
        <v>175</v>
      </c>
      <c r="B67" s="1">
        <v>23</v>
      </c>
      <c r="C67" s="19">
        <v>-0.7858175529004563</v>
      </c>
    </row>
    <row r="68" spans="1:3" ht="15" x14ac:dyDescent="0.25">
      <c r="A68" s="1" t="s">
        <v>176</v>
      </c>
      <c r="C68" s="19">
        <v>-1.0733018209801155</v>
      </c>
    </row>
  </sheetData>
  <pageMargins left="0.7" right="0.7" top="0.75" bottom="0.75" header="0.3" footer="0.3"/>
  <pageSetup paperSize="9" orientation="portrait" horizontalDpi="204" verticalDpi="196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C69"/>
  <sheetViews>
    <sheetView workbookViewId="0">
      <selection activeCell="B7" sqref="B7"/>
    </sheetView>
  </sheetViews>
  <sheetFormatPr defaultRowHeight="12.75" x14ac:dyDescent="0.2"/>
  <cols>
    <col min="1" max="1" width="20.42578125" style="1" bestFit="1" customWidth="1"/>
    <col min="2" max="16384" width="9.140625" style="1"/>
  </cols>
  <sheetData>
    <row r="1" spans="1:3" x14ac:dyDescent="0.2">
      <c r="A1" s="5" t="s">
        <v>1</v>
      </c>
      <c r="B1" s="2" t="s">
        <v>183</v>
      </c>
      <c r="C1" s="4" t="s">
        <v>184</v>
      </c>
    </row>
    <row r="2" spans="1:3" x14ac:dyDescent="0.2">
      <c r="A2" s="5" t="s">
        <v>58</v>
      </c>
      <c r="B2" s="3">
        <v>999.99</v>
      </c>
      <c r="C2" s="5">
        <v>-0.4366482866484841</v>
      </c>
    </row>
    <row r="3" spans="1:3" x14ac:dyDescent="0.2">
      <c r="A3" s="5" t="s">
        <v>59</v>
      </c>
      <c r="B3" s="3">
        <v>30</v>
      </c>
      <c r="C3" s="5">
        <v>0.44197147739544396</v>
      </c>
    </row>
    <row r="4" spans="1:3" x14ac:dyDescent="0.2">
      <c r="A4" s="5" t="s">
        <v>60</v>
      </c>
      <c r="B4" s="3">
        <v>98</v>
      </c>
      <c r="C4" s="5">
        <v>0.27293738689194996</v>
      </c>
    </row>
    <row r="5" spans="1:3" x14ac:dyDescent="0.2">
      <c r="A5" s="5" t="s">
        <v>61</v>
      </c>
      <c r="B5" s="3">
        <v>145</v>
      </c>
      <c r="C5" s="5">
        <v>-0.20868952905712534</v>
      </c>
    </row>
    <row r="6" spans="1:3" x14ac:dyDescent="0.2">
      <c r="A6" s="5" t="s">
        <v>62</v>
      </c>
      <c r="B6" s="3"/>
      <c r="C6" s="5">
        <v>-0.62540860454558966</v>
      </c>
    </row>
    <row r="7" spans="1:3" x14ac:dyDescent="0.2">
      <c r="A7" s="5" t="s">
        <v>64</v>
      </c>
      <c r="B7" s="3">
        <v>999.99</v>
      </c>
      <c r="C7" s="5">
        <v>0.51543403941586152</v>
      </c>
    </row>
    <row r="8" spans="1:3" x14ac:dyDescent="0.2">
      <c r="A8" s="5" t="s">
        <v>65</v>
      </c>
      <c r="B8" s="3">
        <v>0.94000000000000006</v>
      </c>
      <c r="C8" s="5">
        <v>0.29877719109345563</v>
      </c>
    </row>
    <row r="9" spans="1:3" x14ac:dyDescent="0.2">
      <c r="A9" s="5" t="s">
        <v>66</v>
      </c>
      <c r="B9" s="3">
        <v>2.4900000000000002</v>
      </c>
      <c r="C9" s="5">
        <v>-0.31810695440458342</v>
      </c>
    </row>
    <row r="10" spans="1:3" x14ac:dyDescent="0.2">
      <c r="A10" s="5" t="s">
        <v>67</v>
      </c>
      <c r="C10" s="5">
        <v>-0.96986479569392303</v>
      </c>
    </row>
    <row r="11" spans="1:3" x14ac:dyDescent="0.2">
      <c r="A11" s="5" t="s">
        <v>69</v>
      </c>
      <c r="B11" s="3">
        <v>999.99</v>
      </c>
      <c r="C11" s="5">
        <v>-0.28701636733455216</v>
      </c>
    </row>
    <row r="12" spans="1:3" x14ac:dyDescent="0.2">
      <c r="A12" s="5" t="s">
        <v>70</v>
      </c>
      <c r="B12" s="3">
        <v>1.08</v>
      </c>
      <c r="C12" s="5">
        <v>-0.65814006192830687</v>
      </c>
    </row>
    <row r="13" spans="1:3" x14ac:dyDescent="0.2">
      <c r="A13" s="5" t="s">
        <v>71</v>
      </c>
      <c r="B13" s="3">
        <v>2.29</v>
      </c>
      <c r="C13" s="5">
        <v>-0.13760924813635181</v>
      </c>
    </row>
    <row r="14" spans="1:3" x14ac:dyDescent="0.2">
      <c r="A14" s="5" t="s">
        <v>72</v>
      </c>
      <c r="B14" s="3">
        <v>3.9</v>
      </c>
      <c r="C14" s="5">
        <v>0.29786177008197112</v>
      </c>
    </row>
    <row r="15" spans="1:3" x14ac:dyDescent="0.2">
      <c r="A15" s="5" t="s">
        <v>73</v>
      </c>
      <c r="B15" s="3">
        <v>17.38</v>
      </c>
      <c r="C15" s="5">
        <v>1.1900725351135149</v>
      </c>
    </row>
    <row r="16" spans="1:3" x14ac:dyDescent="0.2">
      <c r="A16" s="5" t="s">
        <v>74</v>
      </c>
      <c r="C16" s="5">
        <v>1.5984874978681003</v>
      </c>
    </row>
    <row r="17" spans="1:3" x14ac:dyDescent="0.2">
      <c r="A17" s="5" t="s">
        <v>75</v>
      </c>
      <c r="B17" s="3">
        <v>999.99</v>
      </c>
      <c r="C17" s="5">
        <v>-0.34433464049863649</v>
      </c>
    </row>
    <row r="18" spans="1:3" x14ac:dyDescent="0.2">
      <c r="A18" s="5" t="s">
        <v>76</v>
      </c>
      <c r="B18" s="3">
        <v>16</v>
      </c>
      <c r="C18" s="5">
        <v>0.76144613764808577</v>
      </c>
    </row>
    <row r="19" spans="1:3" x14ac:dyDescent="0.2">
      <c r="A19" s="5" t="s">
        <v>77</v>
      </c>
      <c r="B19" s="3">
        <v>64</v>
      </c>
      <c r="C19" s="5">
        <v>0.4331392315599692</v>
      </c>
    </row>
    <row r="20" spans="1:3" x14ac:dyDescent="0.2">
      <c r="A20" s="5" t="s">
        <v>78</v>
      </c>
      <c r="B20" s="3">
        <v>151</v>
      </c>
      <c r="C20" s="5">
        <v>0.17208838051392561</v>
      </c>
    </row>
    <row r="21" spans="1:3" x14ac:dyDescent="0.2">
      <c r="A21" s="5" t="s">
        <v>79</v>
      </c>
      <c r="B21" s="3">
        <v>188</v>
      </c>
      <c r="C21" s="5">
        <v>-0.13330944167477113</v>
      </c>
    </row>
    <row r="22" spans="1:3" x14ac:dyDescent="0.2">
      <c r="A22" s="5" t="s">
        <v>80</v>
      </c>
      <c r="C22" s="5">
        <v>-0.97222859939476491</v>
      </c>
    </row>
    <row r="23" spans="1:3" x14ac:dyDescent="0.2">
      <c r="A23" s="5" t="s">
        <v>81</v>
      </c>
      <c r="B23" s="3">
        <v>1.1000000000000001</v>
      </c>
      <c r="C23" s="5">
        <v>-0.64423370422561199</v>
      </c>
    </row>
    <row r="24" spans="1:3" x14ac:dyDescent="0.2">
      <c r="A24" s="5" t="s">
        <v>82</v>
      </c>
      <c r="B24" s="3">
        <v>1.79</v>
      </c>
      <c r="C24" s="5">
        <v>-0.18945012340354495</v>
      </c>
    </row>
    <row r="25" spans="1:3" x14ac:dyDescent="0.2">
      <c r="A25" s="5" t="s">
        <v>83</v>
      </c>
      <c r="B25" s="3">
        <v>3.64</v>
      </c>
      <c r="C25" s="5">
        <v>-4.2039332118663578E-2</v>
      </c>
    </row>
    <row r="26" spans="1:3" x14ac:dyDescent="0.2">
      <c r="A26" s="5" t="s">
        <v>84</v>
      </c>
      <c r="B26" s="3">
        <v>3.7600000000000002</v>
      </c>
      <c r="C26" s="5">
        <v>4.2108624835949508E-2</v>
      </c>
    </row>
    <row r="27" spans="1:3" x14ac:dyDescent="0.2">
      <c r="A27" s="5" t="s">
        <v>85</v>
      </c>
      <c r="C27" s="5">
        <v>0.37217571545990213</v>
      </c>
    </row>
    <row r="28" spans="1:3" x14ac:dyDescent="0.2">
      <c r="A28" s="5" t="s">
        <v>87</v>
      </c>
      <c r="B28" s="3">
        <v>999.99</v>
      </c>
      <c r="C28" s="5">
        <v>-0.69399455156920087</v>
      </c>
    </row>
    <row r="29" spans="1:3" x14ac:dyDescent="0.2">
      <c r="A29" s="5" t="s">
        <v>88</v>
      </c>
      <c r="B29" s="3">
        <v>20</v>
      </c>
      <c r="C29" s="5">
        <v>-0.50313922700481151</v>
      </c>
    </row>
    <row r="30" spans="1:3" x14ac:dyDescent="0.2">
      <c r="A30" s="5" t="s">
        <v>89</v>
      </c>
      <c r="B30" s="3">
        <v>31</v>
      </c>
      <c r="C30" s="5">
        <v>-0.23446222219076074</v>
      </c>
    </row>
    <row r="31" spans="1:3" x14ac:dyDescent="0.2">
      <c r="A31" s="5" t="s">
        <v>90</v>
      </c>
      <c r="B31" s="3">
        <v>47</v>
      </c>
      <c r="C31" s="5">
        <v>0.33357443176308993</v>
      </c>
    </row>
    <row r="32" spans="1:3" x14ac:dyDescent="0.2">
      <c r="A32" s="5" t="s">
        <v>91</v>
      </c>
      <c r="B32" s="3">
        <v>306</v>
      </c>
      <c r="C32" s="5">
        <v>0.73769695743642238</v>
      </c>
    </row>
    <row r="33" spans="1:3" x14ac:dyDescent="0.2">
      <c r="A33" s="5" t="s">
        <v>92</v>
      </c>
      <c r="C33" s="5">
        <v>1.2787811415995933</v>
      </c>
    </row>
    <row r="34" spans="1:3" x14ac:dyDescent="0.2">
      <c r="A34" s="5" t="s">
        <v>93</v>
      </c>
      <c r="B34" s="3">
        <v>999.99</v>
      </c>
      <c r="C34" s="5">
        <v>0</v>
      </c>
    </row>
    <row r="35" spans="1:3" x14ac:dyDescent="0.2">
      <c r="A35" s="5" t="s">
        <v>94</v>
      </c>
      <c r="B35" s="3">
        <v>0.06</v>
      </c>
      <c r="C35" s="5">
        <v>-0.81257210166363458</v>
      </c>
    </row>
    <row r="36" spans="1:3" x14ac:dyDescent="0.2">
      <c r="A36" s="5" t="s">
        <v>95</v>
      </c>
      <c r="B36" s="3">
        <v>3.19</v>
      </c>
      <c r="C36" s="5">
        <v>0.19705707096000552</v>
      </c>
    </row>
    <row r="37" spans="1:3" x14ac:dyDescent="0.2">
      <c r="A37" s="5" t="s">
        <v>96</v>
      </c>
      <c r="B37" s="3">
        <v>8.6</v>
      </c>
      <c r="C37" s="5">
        <v>0.3583899994809443</v>
      </c>
    </row>
    <row r="38" spans="1:3" x14ac:dyDescent="0.2">
      <c r="A38" s="5" t="s">
        <v>97</v>
      </c>
      <c r="B38" s="3"/>
      <c r="C38" s="5">
        <v>1.4727940228548775</v>
      </c>
    </row>
    <row r="39" spans="1:3" x14ac:dyDescent="0.2">
      <c r="A39" s="5" t="s">
        <v>99</v>
      </c>
      <c r="B39" s="3">
        <v>999.99</v>
      </c>
      <c r="C39" s="5">
        <v>-0.86861106198875015</v>
      </c>
    </row>
    <row r="40" spans="1:3" x14ac:dyDescent="0.2">
      <c r="A40" s="5" t="s">
        <v>100</v>
      </c>
      <c r="B40" s="3">
        <v>0.62</v>
      </c>
      <c r="C40" s="5">
        <v>-0.69348561523513097</v>
      </c>
    </row>
    <row r="41" spans="1:3" x14ac:dyDescent="0.2">
      <c r="A41" s="5" t="s">
        <v>101</v>
      </c>
      <c r="B41" s="3">
        <v>0.82000000000000006</v>
      </c>
      <c r="C41" s="5">
        <v>-0.16205114921543035</v>
      </c>
    </row>
    <row r="42" spans="1:3" x14ac:dyDescent="0.2">
      <c r="A42" s="5" t="s">
        <v>102</v>
      </c>
      <c r="B42" s="3">
        <v>1.0900000000000001</v>
      </c>
      <c r="C42" s="5">
        <v>-8.3589230088552801E-3</v>
      </c>
    </row>
    <row r="43" spans="1:3" x14ac:dyDescent="0.2">
      <c r="A43" s="5" t="s">
        <v>103</v>
      </c>
      <c r="B43" s="3">
        <v>1.76</v>
      </c>
      <c r="C43" s="5">
        <v>0.43245286651250531</v>
      </c>
    </row>
    <row r="44" spans="1:3" x14ac:dyDescent="0.2">
      <c r="A44" s="5" t="s">
        <v>104</v>
      </c>
      <c r="C44" s="5">
        <v>1.4311923880434185</v>
      </c>
    </row>
    <row r="45" spans="1:3" x14ac:dyDescent="0.2">
      <c r="A45" s="5" t="s">
        <v>106</v>
      </c>
      <c r="B45" s="3">
        <v>999.99</v>
      </c>
      <c r="C45" s="5">
        <v>-0.44116704716181054</v>
      </c>
    </row>
    <row r="46" spans="1:3" x14ac:dyDescent="0.2">
      <c r="A46" s="5" t="s">
        <v>107</v>
      </c>
      <c r="B46" s="3">
        <v>-2.9</v>
      </c>
      <c r="C46" s="5">
        <v>-0.80921268189555962</v>
      </c>
    </row>
    <row r="47" spans="1:3" x14ac:dyDescent="0.2">
      <c r="A47" s="5" t="s">
        <v>108</v>
      </c>
      <c r="B47" s="3">
        <v>-0.51</v>
      </c>
      <c r="C47" s="5">
        <v>-0.4015880608811524</v>
      </c>
    </row>
    <row r="48" spans="1:3" x14ac:dyDescent="0.2">
      <c r="A48" s="5" t="s">
        <v>109</v>
      </c>
      <c r="B48" s="3">
        <v>6.09</v>
      </c>
      <c r="C48" s="5">
        <v>-8.1865821401893787E-2</v>
      </c>
    </row>
    <row r="49" spans="1:3" x14ac:dyDescent="0.2">
      <c r="A49" s="5" t="s">
        <v>110</v>
      </c>
      <c r="B49" s="3">
        <v>11.89</v>
      </c>
      <c r="C49" s="5">
        <v>0.31034913807875053</v>
      </c>
    </row>
    <row r="50" spans="1:3" x14ac:dyDescent="0.2">
      <c r="A50" s="5" t="s">
        <v>111</v>
      </c>
      <c r="C50" s="5">
        <v>1.5672739153523632</v>
      </c>
    </row>
    <row r="51" spans="1:3" x14ac:dyDescent="0.2">
      <c r="A51" s="5" t="s">
        <v>113</v>
      </c>
      <c r="B51" s="3">
        <v>999.99</v>
      </c>
      <c r="C51" s="5">
        <v>-0.40034505264155551</v>
      </c>
    </row>
    <row r="52" spans="1:3" x14ac:dyDescent="0.2">
      <c r="A52" s="5" t="s">
        <v>114</v>
      </c>
      <c r="B52" s="3">
        <v>-14.040000000000001</v>
      </c>
      <c r="C52" s="5">
        <v>-1.004412603147812</v>
      </c>
    </row>
    <row r="53" spans="1:3" x14ac:dyDescent="0.2">
      <c r="A53" s="5" t="s">
        <v>115</v>
      </c>
      <c r="B53" s="3">
        <v>12</v>
      </c>
      <c r="C53" s="5">
        <v>-0.83783940332199658</v>
      </c>
    </row>
    <row r="54" spans="1:3" x14ac:dyDescent="0.2">
      <c r="A54" s="5" t="s">
        <v>116</v>
      </c>
      <c r="B54" s="3">
        <v>26.98</v>
      </c>
      <c r="C54" s="5">
        <v>-7.6658897299745482E-2</v>
      </c>
    </row>
    <row r="55" spans="1:3" x14ac:dyDescent="0.2">
      <c r="A55" s="5" t="s">
        <v>117</v>
      </c>
      <c r="B55" s="3">
        <v>44</v>
      </c>
      <c r="C55" s="5">
        <v>0.32233871312168666</v>
      </c>
    </row>
    <row r="56" spans="1:3" x14ac:dyDescent="0.2">
      <c r="A56" s="5" t="s">
        <v>118</v>
      </c>
      <c r="C56" s="5">
        <v>1.1083913613179806</v>
      </c>
    </row>
    <row r="57" spans="1:3" x14ac:dyDescent="0.2">
      <c r="A57" s="5" t="s">
        <v>119</v>
      </c>
      <c r="B57" s="3">
        <v>999.99</v>
      </c>
      <c r="C57" s="5">
        <v>-0.40034505264155551</v>
      </c>
    </row>
    <row r="58" spans="1:3" x14ac:dyDescent="0.2">
      <c r="A58" s="5" t="s">
        <v>120</v>
      </c>
      <c r="B58" s="3">
        <v>89.4</v>
      </c>
      <c r="C58" s="5">
        <v>-0.43413952073840134</v>
      </c>
    </row>
    <row r="59" spans="1:3" x14ac:dyDescent="0.2">
      <c r="A59" s="5" t="s">
        <v>121</v>
      </c>
      <c r="B59" s="3">
        <v>95.78</v>
      </c>
      <c r="C59" s="5">
        <v>-0.36292683772317835</v>
      </c>
    </row>
    <row r="60" spans="1:3" x14ac:dyDescent="0.2">
      <c r="A60" s="5" t="s">
        <v>122</v>
      </c>
      <c r="B60" s="3">
        <v>100.10000000000001</v>
      </c>
      <c r="C60" s="5">
        <v>0.2682803081955023</v>
      </c>
    </row>
    <row r="61" spans="1:3" x14ac:dyDescent="0.2">
      <c r="A61" s="5" t="s">
        <v>123</v>
      </c>
      <c r="B61" s="3">
        <v>118.02</v>
      </c>
      <c r="C61" s="5">
        <v>0.37378085224113067</v>
      </c>
    </row>
    <row r="62" spans="1:3" x14ac:dyDescent="0.2">
      <c r="A62" s="5" t="s">
        <v>124</v>
      </c>
      <c r="C62" s="5">
        <v>0.50689296911279003</v>
      </c>
    </row>
    <row r="63" spans="1:3" ht="15" x14ac:dyDescent="0.25">
      <c r="A63" s="1" t="s">
        <v>170</v>
      </c>
      <c r="B63" s="1" t="s">
        <v>130</v>
      </c>
      <c r="C63" s="20">
        <v>0.65362886106834017</v>
      </c>
    </row>
    <row r="64" spans="1:3" ht="15" x14ac:dyDescent="0.25">
      <c r="A64" s="1" t="s">
        <v>171</v>
      </c>
      <c r="B64" s="1" t="s">
        <v>131</v>
      </c>
      <c r="C64" s="20">
        <v>-0.85438660577542691</v>
      </c>
    </row>
    <row r="65" spans="1:3" ht="15" x14ac:dyDescent="0.25">
      <c r="A65" s="1" t="s">
        <v>172</v>
      </c>
      <c r="B65" s="1" t="s">
        <v>132</v>
      </c>
      <c r="C65" s="20">
        <v>-0.2236528821009621</v>
      </c>
    </row>
    <row r="66" spans="1:3" ht="15" x14ac:dyDescent="0.25">
      <c r="A66" s="1" t="s">
        <v>173</v>
      </c>
      <c r="B66" s="1">
        <v>11</v>
      </c>
      <c r="C66" s="19">
        <v>0.72643025003990203</v>
      </c>
    </row>
    <row r="67" spans="1:3" ht="15" x14ac:dyDescent="0.25">
      <c r="A67" s="1" t="s">
        <v>174</v>
      </c>
      <c r="B67" s="1">
        <v>17</v>
      </c>
      <c r="C67" s="19">
        <v>0.18012897946831288</v>
      </c>
    </row>
    <row r="68" spans="1:3" ht="15" x14ac:dyDescent="0.25">
      <c r="A68" s="1" t="s">
        <v>175</v>
      </c>
      <c r="B68" s="1">
        <v>23</v>
      </c>
      <c r="C68" s="19">
        <v>-0.7858175529004563</v>
      </c>
    </row>
    <row r="69" spans="1:3" ht="15" x14ac:dyDescent="0.25">
      <c r="A69" s="1" t="s">
        <v>176</v>
      </c>
      <c r="C69" s="19">
        <v>-1.0733018209801155</v>
      </c>
    </row>
  </sheetData>
  <pageMargins left="0.7" right="0.7" top="0.75" bottom="0.75" header="0.3" footer="0.3"/>
  <pageSetup paperSize="9" orientation="portrait" horizontalDpi="204" verticalDpi="196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C68"/>
  <sheetViews>
    <sheetView workbookViewId="0">
      <selection activeCell="B7" sqref="B7"/>
    </sheetView>
  </sheetViews>
  <sheetFormatPr defaultRowHeight="12.75" x14ac:dyDescent="0.2"/>
  <cols>
    <col min="1" max="1" width="20.42578125" style="1" bestFit="1" customWidth="1"/>
    <col min="2" max="16384" width="9.140625" style="1"/>
  </cols>
  <sheetData>
    <row r="1" spans="1:3" x14ac:dyDescent="0.2">
      <c r="A1" s="5" t="s">
        <v>1</v>
      </c>
      <c r="B1" s="2" t="s">
        <v>183</v>
      </c>
      <c r="C1" s="4" t="s">
        <v>184</v>
      </c>
    </row>
    <row r="2" spans="1:3" x14ac:dyDescent="0.2">
      <c r="A2" s="5" t="s">
        <v>58</v>
      </c>
      <c r="B2" s="3">
        <v>999.99</v>
      </c>
      <c r="C2" s="5">
        <v>-0.41844583516915879</v>
      </c>
    </row>
    <row r="3" spans="1:3" x14ac:dyDescent="0.2">
      <c r="A3" s="5" t="s">
        <v>59</v>
      </c>
      <c r="B3" s="3">
        <v>26</v>
      </c>
      <c r="C3" s="5">
        <v>0.86352362398652194</v>
      </c>
    </row>
    <row r="4" spans="1:3" x14ac:dyDescent="0.2">
      <c r="A4" s="5" t="s">
        <v>60</v>
      </c>
      <c r="B4" s="3">
        <v>126</v>
      </c>
      <c r="C4" s="5">
        <v>0.27352320833406002</v>
      </c>
    </row>
    <row r="5" spans="1:3" x14ac:dyDescent="0.2">
      <c r="A5" s="5" t="s">
        <v>61</v>
      </c>
      <c r="B5" s="3">
        <v>200</v>
      </c>
      <c r="C5" s="5">
        <v>0.102274176124958</v>
      </c>
    </row>
    <row r="6" spans="1:3" x14ac:dyDescent="0.2">
      <c r="A6" s="5" t="s">
        <v>62</v>
      </c>
      <c r="B6" s="3"/>
      <c r="C6" s="5">
        <v>-0.57145491857788577</v>
      </c>
    </row>
    <row r="7" spans="1:3" x14ac:dyDescent="0.2">
      <c r="A7" s="5" t="s">
        <v>64</v>
      </c>
      <c r="B7" s="3">
        <v>999.99</v>
      </c>
      <c r="C7" s="5">
        <v>0.31012387843561984</v>
      </c>
    </row>
    <row r="8" spans="1:3" x14ac:dyDescent="0.2">
      <c r="A8" s="5" t="s">
        <v>65</v>
      </c>
      <c r="B8" s="3">
        <v>0.9</v>
      </c>
      <c r="C8" s="5">
        <v>-6.343449932522071E-3</v>
      </c>
    </row>
    <row r="9" spans="1:3" x14ac:dyDescent="0.2">
      <c r="A9" s="5" t="s">
        <v>66</v>
      </c>
      <c r="B9" s="3">
        <v>2.13</v>
      </c>
      <c r="C9" s="5">
        <v>-0.10407256025598641</v>
      </c>
    </row>
    <row r="10" spans="1:3" x14ac:dyDescent="0.2">
      <c r="A10" s="5" t="s">
        <v>67</v>
      </c>
      <c r="C10" s="5">
        <v>-0.55383439705363124</v>
      </c>
    </row>
    <row r="11" spans="1:3" x14ac:dyDescent="0.2">
      <c r="A11" s="5" t="s">
        <v>69</v>
      </c>
      <c r="B11" s="3">
        <v>999.99</v>
      </c>
      <c r="C11" s="5">
        <v>-0.26385469308123527</v>
      </c>
    </row>
    <row r="12" spans="1:3" x14ac:dyDescent="0.2">
      <c r="A12" s="5" t="s">
        <v>70</v>
      </c>
      <c r="B12" s="3">
        <v>-8.43</v>
      </c>
      <c r="C12" s="5">
        <v>-0.56706651171496136</v>
      </c>
    </row>
    <row r="13" spans="1:3" x14ac:dyDescent="0.2">
      <c r="A13" s="5" t="s">
        <v>71</v>
      </c>
      <c r="B13" s="3">
        <v>-0.45</v>
      </c>
      <c r="C13" s="5">
        <v>-0.31697582415377212</v>
      </c>
    </row>
    <row r="14" spans="1:3" x14ac:dyDescent="0.2">
      <c r="A14" s="5" t="s">
        <v>72</v>
      </c>
      <c r="B14" s="3">
        <v>6.38</v>
      </c>
      <c r="C14" s="5">
        <v>3.6447749268805903E-2</v>
      </c>
    </row>
    <row r="15" spans="1:3" x14ac:dyDescent="0.2">
      <c r="A15" s="5" t="s">
        <v>73</v>
      </c>
      <c r="B15" s="3">
        <v>28.28</v>
      </c>
      <c r="C15" s="5">
        <v>0.83214850141876795</v>
      </c>
    </row>
    <row r="16" spans="1:3" x14ac:dyDescent="0.2">
      <c r="A16" s="5" t="s">
        <v>74</v>
      </c>
      <c r="C16" s="5">
        <v>1.0550264132042539</v>
      </c>
    </row>
    <row r="17" spans="1:3" x14ac:dyDescent="0.2">
      <c r="A17" s="5" t="s">
        <v>75</v>
      </c>
      <c r="B17" s="3">
        <v>999.99</v>
      </c>
      <c r="C17" s="5">
        <v>7.2307707547877006E-2</v>
      </c>
    </row>
    <row r="18" spans="1:3" x14ac:dyDescent="0.2">
      <c r="A18" s="5" t="s">
        <v>76</v>
      </c>
      <c r="B18" s="3">
        <v>3</v>
      </c>
      <c r="C18" s="5">
        <v>0.76470378903789449</v>
      </c>
    </row>
    <row r="19" spans="1:3" x14ac:dyDescent="0.2">
      <c r="A19" s="5" t="s">
        <v>77</v>
      </c>
      <c r="B19" s="3">
        <v>69</v>
      </c>
      <c r="C19" s="5">
        <v>8.3365066436946772E-2</v>
      </c>
    </row>
    <row r="20" spans="1:3" x14ac:dyDescent="0.2">
      <c r="A20" s="5" t="s">
        <v>78</v>
      </c>
      <c r="B20" s="3">
        <v>87</v>
      </c>
      <c r="C20" s="5">
        <v>-0.24717340389665982</v>
      </c>
    </row>
    <row r="21" spans="1:3" x14ac:dyDescent="0.2">
      <c r="A21" s="5" t="s">
        <v>79</v>
      </c>
      <c r="B21" s="3">
        <v>528</v>
      </c>
      <c r="C21" s="5">
        <v>-0.55248720946184571</v>
      </c>
    </row>
    <row r="22" spans="1:3" x14ac:dyDescent="0.2">
      <c r="A22" s="5" t="s">
        <v>80</v>
      </c>
      <c r="C22" s="5">
        <v>-0.96182678967756852</v>
      </c>
    </row>
    <row r="23" spans="1:3" x14ac:dyDescent="0.2">
      <c r="A23" s="5" t="s">
        <v>81</v>
      </c>
      <c r="B23" s="3">
        <v>1.95</v>
      </c>
      <c r="C23" s="5">
        <v>-0.26993152813341531</v>
      </c>
    </row>
    <row r="24" spans="1:3" x14ac:dyDescent="0.2">
      <c r="A24" s="5" t="s">
        <v>82</v>
      </c>
      <c r="B24" s="3">
        <v>2.64</v>
      </c>
      <c r="C24" s="5">
        <v>-0.10687736970134952</v>
      </c>
    </row>
    <row r="25" spans="1:3" x14ac:dyDescent="0.2">
      <c r="A25" s="5" t="s">
        <v>83</v>
      </c>
      <c r="B25" s="3">
        <v>3.09</v>
      </c>
      <c r="C25" s="5">
        <v>0.23479044284865166</v>
      </c>
    </row>
    <row r="26" spans="1:3" x14ac:dyDescent="0.2">
      <c r="A26" s="5" t="s">
        <v>84</v>
      </c>
      <c r="B26" s="3">
        <v>3.64</v>
      </c>
      <c r="C26" s="5">
        <v>0.26632235010363431</v>
      </c>
    </row>
    <row r="27" spans="1:3" x14ac:dyDescent="0.2">
      <c r="A27" s="5" t="s">
        <v>85</v>
      </c>
      <c r="C27" s="5">
        <v>0.4385613641786022</v>
      </c>
    </row>
    <row r="28" spans="1:3" x14ac:dyDescent="0.2">
      <c r="A28" s="5" t="s">
        <v>87</v>
      </c>
      <c r="B28" s="3">
        <v>999.99</v>
      </c>
      <c r="C28" s="5">
        <v>-0.56182721789499601</v>
      </c>
    </row>
    <row r="29" spans="1:3" x14ac:dyDescent="0.2">
      <c r="A29" s="5" t="s">
        <v>88</v>
      </c>
      <c r="B29" s="3">
        <v>1</v>
      </c>
      <c r="C29" s="5">
        <v>-0.6224359081534041</v>
      </c>
    </row>
    <row r="30" spans="1:3" x14ac:dyDescent="0.2">
      <c r="A30" s="5" t="s">
        <v>89</v>
      </c>
      <c r="B30" s="3">
        <v>3</v>
      </c>
      <c r="C30" s="5">
        <v>-0.1200042697778235</v>
      </c>
    </row>
    <row r="31" spans="1:3" x14ac:dyDescent="0.2">
      <c r="A31" s="5" t="s">
        <v>90</v>
      </c>
      <c r="B31" s="3">
        <v>23</v>
      </c>
      <c r="C31" s="5">
        <v>0.16590746795562475</v>
      </c>
    </row>
    <row r="32" spans="1:3" x14ac:dyDescent="0.2">
      <c r="A32" s="5" t="s">
        <v>91</v>
      </c>
      <c r="B32" s="3">
        <v>37</v>
      </c>
      <c r="C32" s="5">
        <v>0.66850924039414827</v>
      </c>
    </row>
    <row r="33" spans="1:3" x14ac:dyDescent="0.2">
      <c r="A33" s="5" t="s">
        <v>92</v>
      </c>
      <c r="C33" s="5">
        <v>1.0884673558048794</v>
      </c>
    </row>
    <row r="34" spans="1:3" x14ac:dyDescent="0.2">
      <c r="A34" s="5" t="s">
        <v>93</v>
      </c>
      <c r="B34" s="3">
        <v>999.99</v>
      </c>
      <c r="C34" s="5">
        <v>0</v>
      </c>
    </row>
    <row r="35" spans="1:3" x14ac:dyDescent="0.2">
      <c r="A35" s="5" t="s">
        <v>94</v>
      </c>
      <c r="B35" s="3">
        <v>-7.78</v>
      </c>
      <c r="C35" s="5">
        <v>-0.55214697345850183</v>
      </c>
    </row>
    <row r="36" spans="1:3" x14ac:dyDescent="0.2">
      <c r="A36" s="5" t="s">
        <v>95</v>
      </c>
      <c r="B36" s="3">
        <v>0</v>
      </c>
      <c r="C36" s="5">
        <v>-0.44196424353142555</v>
      </c>
    </row>
    <row r="37" spans="1:3" x14ac:dyDescent="0.2">
      <c r="A37" s="5" t="s">
        <v>96</v>
      </c>
      <c r="B37" s="3">
        <v>4.5</v>
      </c>
      <c r="C37" s="5">
        <v>0.18186026278599446</v>
      </c>
    </row>
    <row r="38" spans="1:3" x14ac:dyDescent="0.2">
      <c r="A38" s="5" t="s">
        <v>97</v>
      </c>
      <c r="B38" s="3">
        <v>6.7</v>
      </c>
      <c r="C38" s="5">
        <v>0.32838069256982488</v>
      </c>
    </row>
    <row r="39" spans="1:3" x14ac:dyDescent="0.2">
      <c r="A39" s="5" t="s">
        <v>98</v>
      </c>
      <c r="C39" s="5">
        <v>0.44559376525837047</v>
      </c>
    </row>
    <row r="40" spans="1:3" x14ac:dyDescent="0.2">
      <c r="A40" s="5" t="s">
        <v>99</v>
      </c>
      <c r="B40" s="3">
        <v>999.99</v>
      </c>
      <c r="C40" s="5">
        <v>0.32838069256982472</v>
      </c>
    </row>
    <row r="41" spans="1:3" x14ac:dyDescent="0.2">
      <c r="A41" s="5" t="s">
        <v>100</v>
      </c>
      <c r="B41" s="3">
        <v>0.76</v>
      </c>
      <c r="C41" s="5">
        <v>-0.54615824462410867</v>
      </c>
    </row>
    <row r="42" spans="1:3" x14ac:dyDescent="0.2">
      <c r="A42" s="5" t="s">
        <v>101</v>
      </c>
      <c r="B42" s="3">
        <v>0.86</v>
      </c>
      <c r="C42" s="5">
        <v>-0.4072517833571932</v>
      </c>
    </row>
    <row r="43" spans="1:3" x14ac:dyDescent="0.2">
      <c r="A43" s="5" t="s">
        <v>102</v>
      </c>
      <c r="B43" s="3">
        <v>1.01</v>
      </c>
      <c r="C43" s="5">
        <v>-0.24470684349614497</v>
      </c>
    </row>
    <row r="44" spans="1:3" x14ac:dyDescent="0.2">
      <c r="A44" s="5" t="s">
        <v>103</v>
      </c>
      <c r="B44" s="3">
        <v>1.1299999999999999</v>
      </c>
      <c r="C44" s="5">
        <v>0.20054732105994005</v>
      </c>
    </row>
    <row r="45" spans="1:3" x14ac:dyDescent="0.2">
      <c r="A45" s="5" t="s">
        <v>104</v>
      </c>
      <c r="C45" s="5">
        <v>0.37787203708819062</v>
      </c>
    </row>
    <row r="46" spans="1:3" x14ac:dyDescent="0.2">
      <c r="A46" s="5" t="s">
        <v>106</v>
      </c>
      <c r="B46" s="3">
        <v>999.99</v>
      </c>
      <c r="C46" s="5">
        <v>-0.63549900212812815</v>
      </c>
    </row>
    <row r="47" spans="1:3" x14ac:dyDescent="0.2">
      <c r="A47" s="5" t="s">
        <v>107</v>
      </c>
      <c r="B47" s="3">
        <v>-22.900000000000002</v>
      </c>
      <c r="C47" s="5">
        <v>-0.74400511017777682</v>
      </c>
    </row>
    <row r="48" spans="1:3" x14ac:dyDescent="0.2">
      <c r="A48" s="5" t="s">
        <v>108</v>
      </c>
      <c r="B48" s="3">
        <v>-7.51</v>
      </c>
      <c r="C48" s="5">
        <v>-0.53654552238193953</v>
      </c>
    </row>
    <row r="49" spans="1:3" x14ac:dyDescent="0.2">
      <c r="A49" s="5" t="s">
        <v>109</v>
      </c>
      <c r="B49" s="3">
        <v>4</v>
      </c>
      <c r="C49" s="5">
        <v>5.5966092248832311E-2</v>
      </c>
    </row>
    <row r="50" spans="1:3" x14ac:dyDescent="0.2">
      <c r="A50" s="5" t="s">
        <v>110</v>
      </c>
      <c r="B50" s="3">
        <v>13.96</v>
      </c>
      <c r="C50" s="5">
        <v>0.19974010993041014</v>
      </c>
    </row>
    <row r="51" spans="1:3" x14ac:dyDescent="0.2">
      <c r="A51" s="5" t="s">
        <v>111</v>
      </c>
      <c r="C51" s="5">
        <v>1.0630768760426426</v>
      </c>
    </row>
    <row r="52" spans="1:3" x14ac:dyDescent="0.2">
      <c r="A52" s="5" t="s">
        <v>113</v>
      </c>
      <c r="B52" s="3">
        <v>999.99</v>
      </c>
      <c r="C52" s="5">
        <v>0.25387816527190371</v>
      </c>
    </row>
    <row r="53" spans="1:3" x14ac:dyDescent="0.2">
      <c r="A53" s="5" t="s">
        <v>114</v>
      </c>
      <c r="B53" s="3">
        <v>1.6300000000000001</v>
      </c>
      <c r="C53" s="5">
        <v>-0.57555466977561187</v>
      </c>
    </row>
    <row r="54" spans="1:3" x14ac:dyDescent="0.2">
      <c r="A54" s="5" t="s">
        <v>115</v>
      </c>
      <c r="B54" s="3">
        <v>16.989999999999998</v>
      </c>
      <c r="C54" s="5">
        <v>-0.36169428895315042</v>
      </c>
    </row>
    <row r="55" spans="1:3" x14ac:dyDescent="0.2">
      <c r="A55" s="5" t="s">
        <v>116</v>
      </c>
      <c r="B55" s="3">
        <v>46</v>
      </c>
      <c r="C55" s="5">
        <v>0.26164770905031071</v>
      </c>
    </row>
    <row r="56" spans="1:3" x14ac:dyDescent="0.2">
      <c r="A56" s="5" t="s">
        <v>117</v>
      </c>
      <c r="B56" s="3">
        <v>85</v>
      </c>
      <c r="C56" s="5">
        <v>0.44285341186500765</v>
      </c>
    </row>
    <row r="57" spans="1:3" x14ac:dyDescent="0.2">
      <c r="A57" s="5" t="s">
        <v>118</v>
      </c>
      <c r="C57" s="5">
        <v>0.72180782211851024</v>
      </c>
    </row>
    <row r="58" spans="1:3" x14ac:dyDescent="0.2">
      <c r="A58" s="5" t="s">
        <v>119</v>
      </c>
      <c r="B58" s="3">
        <v>999.99</v>
      </c>
      <c r="C58" s="5">
        <v>-0.51968715393382503</v>
      </c>
    </row>
    <row r="59" spans="1:3" x14ac:dyDescent="0.2">
      <c r="A59" s="5" t="s">
        <v>120</v>
      </c>
      <c r="B59" s="3">
        <v>79.569999999999993</v>
      </c>
      <c r="C59" s="5">
        <v>0.28004568632138704</v>
      </c>
    </row>
    <row r="60" spans="1:3" x14ac:dyDescent="0.2">
      <c r="A60" s="5" t="s">
        <v>121</v>
      </c>
      <c r="B60" s="3">
        <v>87.14</v>
      </c>
      <c r="C60" s="5">
        <v>2.5822165079797326E-2</v>
      </c>
    </row>
    <row r="61" spans="1:3" x14ac:dyDescent="0.2">
      <c r="A61" s="5" t="s">
        <v>122</v>
      </c>
      <c r="B61" s="3"/>
      <c r="C61" s="5">
        <v>0.24558960406494174</v>
      </c>
    </row>
    <row r="62" spans="1:3" ht="15" x14ac:dyDescent="0.25">
      <c r="A62" s="1" t="s">
        <v>170</v>
      </c>
      <c r="B62" s="1" t="s">
        <v>130</v>
      </c>
      <c r="C62" s="20">
        <v>0.65362886106834017</v>
      </c>
    </row>
    <row r="63" spans="1:3" ht="15" x14ac:dyDescent="0.25">
      <c r="A63" s="1" t="s">
        <v>171</v>
      </c>
      <c r="B63" s="1" t="s">
        <v>131</v>
      </c>
      <c r="C63" s="20">
        <v>-0.85438660577542691</v>
      </c>
    </row>
    <row r="64" spans="1:3" ht="15" x14ac:dyDescent="0.25">
      <c r="A64" s="1" t="s">
        <v>172</v>
      </c>
      <c r="B64" s="1" t="s">
        <v>132</v>
      </c>
      <c r="C64" s="20">
        <v>-0.2236528821009621</v>
      </c>
    </row>
    <row r="65" spans="1:3" ht="15" x14ac:dyDescent="0.25">
      <c r="A65" s="1" t="s">
        <v>173</v>
      </c>
      <c r="B65" s="1">
        <v>11</v>
      </c>
      <c r="C65" s="19">
        <v>0.72643025003990203</v>
      </c>
    </row>
    <row r="66" spans="1:3" ht="15" x14ac:dyDescent="0.25">
      <c r="A66" s="1" t="s">
        <v>174</v>
      </c>
      <c r="B66" s="1">
        <v>17</v>
      </c>
      <c r="C66" s="19">
        <v>0.18012897946831288</v>
      </c>
    </row>
    <row r="67" spans="1:3" ht="15" x14ac:dyDescent="0.25">
      <c r="A67" s="1" t="s">
        <v>175</v>
      </c>
      <c r="B67" s="1">
        <v>23</v>
      </c>
      <c r="C67" s="19">
        <v>-0.7858175529004563</v>
      </c>
    </row>
    <row r="68" spans="1:3" ht="15" x14ac:dyDescent="0.25">
      <c r="A68" s="1" t="s">
        <v>176</v>
      </c>
      <c r="C68" s="19">
        <v>-1.0733018209801155</v>
      </c>
    </row>
  </sheetData>
  <pageMargins left="0.7" right="0.7" top="0.75" bottom="0.75" header="0.3" footer="0.3"/>
  <pageSetup paperSize="9" orientation="portrait" horizontalDpi="204" verticalDpi="196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D72"/>
  <sheetViews>
    <sheetView workbookViewId="0">
      <selection activeCell="C2" sqref="C2"/>
    </sheetView>
  </sheetViews>
  <sheetFormatPr defaultRowHeight="12.75" x14ac:dyDescent="0.2"/>
  <cols>
    <col min="1" max="1" width="20.42578125" style="1" bestFit="1" customWidth="1"/>
    <col min="2" max="2" width="19.28515625" style="1" bestFit="1" customWidth="1"/>
    <col min="3" max="16384" width="9.140625" style="1"/>
  </cols>
  <sheetData>
    <row r="1" spans="1:3" x14ac:dyDescent="0.2">
      <c r="A1" s="5" t="s">
        <v>1</v>
      </c>
      <c r="B1" s="2" t="s">
        <v>183</v>
      </c>
      <c r="C1" s="4" t="s">
        <v>184</v>
      </c>
    </row>
    <row r="2" spans="1:3" x14ac:dyDescent="0.2">
      <c r="A2" s="5" t="s">
        <v>58</v>
      </c>
      <c r="B2" s="3">
        <v>999.99</v>
      </c>
      <c r="C2" s="5">
        <v>-0.57092426610836011</v>
      </c>
    </row>
    <row r="3" spans="1:3" x14ac:dyDescent="0.2">
      <c r="A3" s="5" t="s">
        <v>59</v>
      </c>
      <c r="B3" s="3">
        <v>50</v>
      </c>
      <c r="C3" s="5">
        <v>0.62147134237095358</v>
      </c>
    </row>
    <row r="4" spans="1:3" x14ac:dyDescent="0.2">
      <c r="A4" s="5" t="s">
        <v>60</v>
      </c>
      <c r="B4" s="3">
        <v>67</v>
      </c>
      <c r="C4" s="5">
        <v>0.28956034320656171</v>
      </c>
    </row>
    <row r="5" spans="1:3" x14ac:dyDescent="0.2">
      <c r="A5" s="5" t="s">
        <v>61</v>
      </c>
      <c r="B5" s="3">
        <v>96</v>
      </c>
      <c r="C5" s="5">
        <v>0.26004309134832548</v>
      </c>
    </row>
    <row r="6" spans="1:3" x14ac:dyDescent="0.2">
      <c r="A6" s="5" t="s">
        <v>62</v>
      </c>
      <c r="B6" s="3"/>
      <c r="C6" s="5">
        <v>-0.32143489373750056</v>
      </c>
    </row>
    <row r="7" spans="1:3" x14ac:dyDescent="0.2">
      <c r="A7" s="5" t="s">
        <v>64</v>
      </c>
      <c r="B7" s="3">
        <v>999.99</v>
      </c>
      <c r="C7" s="5">
        <v>0.60614882537858905</v>
      </c>
    </row>
    <row r="8" spans="1:3" x14ac:dyDescent="0.2">
      <c r="A8" s="5" t="s">
        <v>65</v>
      </c>
      <c r="B8" s="3">
        <v>0.6</v>
      </c>
      <c r="C8" s="5">
        <v>0.10464341501647348</v>
      </c>
    </row>
    <row r="9" spans="1:3" x14ac:dyDescent="0.2">
      <c r="A9" s="5" t="s">
        <v>66</v>
      </c>
      <c r="B9" s="3">
        <v>2.13</v>
      </c>
      <c r="C9" s="5">
        <v>-0.30231690446302939</v>
      </c>
    </row>
    <row r="10" spans="1:3" x14ac:dyDescent="0.2">
      <c r="A10" s="5" t="s">
        <v>67</v>
      </c>
      <c r="B10" s="3">
        <v>4.3</v>
      </c>
      <c r="C10" s="5">
        <v>-0.7600639377856836</v>
      </c>
    </row>
    <row r="11" spans="1:3" x14ac:dyDescent="0.2">
      <c r="A11" s="5" t="s">
        <v>68</v>
      </c>
      <c r="B11" s="3"/>
      <c r="C11" s="5">
        <v>-0.91817894391485133</v>
      </c>
    </row>
    <row r="12" spans="1:3" x14ac:dyDescent="0.2">
      <c r="A12" s="5" t="s">
        <v>69</v>
      </c>
      <c r="B12" s="3">
        <v>999.99</v>
      </c>
      <c r="C12" s="5">
        <v>-0.5113187844165753</v>
      </c>
    </row>
    <row r="13" spans="1:3" x14ac:dyDescent="0.2">
      <c r="A13" s="5" t="s">
        <v>70</v>
      </c>
      <c r="B13" s="3">
        <v>1.3900000000000001</v>
      </c>
      <c r="C13" s="5">
        <v>-0.43224853518823658</v>
      </c>
    </row>
    <row r="14" spans="1:3" x14ac:dyDescent="0.2">
      <c r="A14" s="5" t="s">
        <v>71</v>
      </c>
      <c r="B14" s="3">
        <v>2.7</v>
      </c>
      <c r="C14" s="5">
        <v>9.7775871379085291E-2</v>
      </c>
    </row>
    <row r="15" spans="1:3" x14ac:dyDescent="0.2">
      <c r="A15" s="5" t="s">
        <v>72</v>
      </c>
      <c r="B15" s="3">
        <v>12.870000000000001</v>
      </c>
      <c r="C15" s="5">
        <v>0.84911959723575903</v>
      </c>
    </row>
    <row r="16" spans="1:3" x14ac:dyDescent="0.2">
      <c r="A16" s="5" t="s">
        <v>73</v>
      </c>
      <c r="B16" s="3"/>
      <c r="C16" s="5">
        <v>1.747579298323366</v>
      </c>
    </row>
    <row r="17" spans="1:4" x14ac:dyDescent="0.2">
      <c r="A17" s="5" t="s">
        <v>75</v>
      </c>
      <c r="B17" s="3">
        <v>999.99</v>
      </c>
      <c r="C17" s="5">
        <v>0.37121509594062713</v>
      </c>
    </row>
    <row r="18" spans="1:4" x14ac:dyDescent="0.2">
      <c r="A18" s="5" t="s">
        <v>76</v>
      </c>
      <c r="B18" s="3">
        <v>16</v>
      </c>
      <c r="C18" s="5">
        <v>0.57992233945808114</v>
      </c>
    </row>
    <row r="19" spans="1:4" x14ac:dyDescent="0.2">
      <c r="A19" s="5" t="s">
        <v>77</v>
      </c>
      <c r="B19" s="3">
        <v>52</v>
      </c>
      <c r="C19" s="5">
        <v>0.26104116657197846</v>
      </c>
    </row>
    <row r="20" spans="1:4" x14ac:dyDescent="0.2">
      <c r="A20" s="5" t="s">
        <v>78</v>
      </c>
      <c r="B20" s="3">
        <v>112</v>
      </c>
      <c r="C20" s="5">
        <v>-0.25835135243093305</v>
      </c>
    </row>
    <row r="21" spans="1:4" x14ac:dyDescent="0.2">
      <c r="A21" s="5" t="s">
        <v>79</v>
      </c>
      <c r="C21" s="5">
        <v>-0.75324938232419336</v>
      </c>
    </row>
    <row r="22" spans="1:4" x14ac:dyDescent="0.2">
      <c r="A22" s="5" t="s">
        <v>81</v>
      </c>
      <c r="B22" s="3">
        <v>1.61</v>
      </c>
      <c r="C22" s="5">
        <v>-0.43567515190488415</v>
      </c>
      <c r="D22" s="1">
        <f>EXP(B22)</f>
        <v>5.0028112278335879</v>
      </c>
    </row>
    <row r="23" spans="1:4" x14ac:dyDescent="0.2">
      <c r="A23" s="5" t="s">
        <v>82</v>
      </c>
      <c r="B23" s="3">
        <v>2.71</v>
      </c>
      <c r="C23" s="5">
        <v>-0.23521250804027943</v>
      </c>
      <c r="D23" s="1">
        <f>EXP(B23)</f>
        <v>15.029275514875401</v>
      </c>
    </row>
    <row r="24" spans="1:4" x14ac:dyDescent="0.2">
      <c r="A24" s="5" t="s">
        <v>83</v>
      </c>
      <c r="B24" s="3">
        <v>3</v>
      </c>
      <c r="C24" s="5">
        <v>2.0306551522658471E-2</v>
      </c>
      <c r="D24" s="1">
        <f>EXP(B24)</f>
        <v>20.085536923187668</v>
      </c>
    </row>
    <row r="25" spans="1:4" x14ac:dyDescent="0.2">
      <c r="A25" s="5" t="s">
        <v>84</v>
      </c>
      <c r="B25" s="3">
        <v>3.64</v>
      </c>
      <c r="C25" s="5">
        <v>0.23914142952176135</v>
      </c>
      <c r="D25" s="1">
        <f>EXP(B25)</f>
        <v>38.09183672539902</v>
      </c>
    </row>
    <row r="26" spans="1:4" x14ac:dyDescent="0.2">
      <c r="A26" s="5" t="s">
        <v>85</v>
      </c>
      <c r="B26" s="3">
        <v>3.95</v>
      </c>
      <c r="C26" s="5">
        <v>0.4223123463133891</v>
      </c>
      <c r="D26" s="1">
        <f>EXP(B26)</f>
        <v>51.935366834831441</v>
      </c>
    </row>
    <row r="27" spans="1:4" x14ac:dyDescent="0.2">
      <c r="A27" s="5" t="s">
        <v>86</v>
      </c>
      <c r="C27" s="5">
        <v>0.62385371395636047</v>
      </c>
    </row>
    <row r="28" spans="1:4" x14ac:dyDescent="0.2">
      <c r="A28" s="5" t="s">
        <v>87</v>
      </c>
      <c r="B28" s="3">
        <v>999.99</v>
      </c>
      <c r="C28" s="5">
        <v>-0.79295738803989035</v>
      </c>
    </row>
    <row r="29" spans="1:4" x14ac:dyDescent="0.2">
      <c r="A29" s="5" t="s">
        <v>88</v>
      </c>
      <c r="B29" s="3">
        <v>1</v>
      </c>
      <c r="C29" s="5">
        <v>-0.6295043155503186</v>
      </c>
    </row>
    <row r="30" spans="1:4" x14ac:dyDescent="0.2">
      <c r="A30" s="5" t="s">
        <v>89</v>
      </c>
      <c r="B30" s="3">
        <v>6</v>
      </c>
      <c r="C30" s="5">
        <v>-0.38552667733326695</v>
      </c>
    </row>
    <row r="31" spans="1:4" x14ac:dyDescent="0.2">
      <c r="A31" s="5" t="s">
        <v>90</v>
      </c>
      <c r="B31" s="3">
        <v>13</v>
      </c>
      <c r="C31" s="5">
        <v>-0.16428642526246032</v>
      </c>
    </row>
    <row r="32" spans="1:4" x14ac:dyDescent="0.2">
      <c r="A32" s="5" t="s">
        <v>91</v>
      </c>
      <c r="B32" s="3">
        <v>36</v>
      </c>
      <c r="C32" s="5">
        <v>-2.79786896368035E-2</v>
      </c>
    </row>
    <row r="33" spans="1:3" x14ac:dyDescent="0.2">
      <c r="A33" s="5" t="s">
        <v>92</v>
      </c>
      <c r="C33" s="5">
        <v>1.2148410151182334</v>
      </c>
    </row>
    <row r="34" spans="1:3" x14ac:dyDescent="0.2">
      <c r="A34" s="5" t="s">
        <v>93</v>
      </c>
      <c r="B34" s="3">
        <v>999.99</v>
      </c>
      <c r="C34" s="5">
        <v>0</v>
      </c>
    </row>
    <row r="35" spans="1:3" x14ac:dyDescent="0.2">
      <c r="A35" s="5" t="s">
        <v>94</v>
      </c>
      <c r="B35" s="3">
        <v>-8.85</v>
      </c>
      <c r="C35" s="5">
        <v>-0.73003643933579521</v>
      </c>
    </row>
    <row r="36" spans="1:3" x14ac:dyDescent="0.2">
      <c r="A36" s="5" t="s">
        <v>95</v>
      </c>
      <c r="B36" s="3">
        <v>-0.83000000000000007</v>
      </c>
      <c r="C36" s="5">
        <v>-0.55247093906749167</v>
      </c>
    </row>
    <row r="37" spans="1:3" x14ac:dyDescent="0.2">
      <c r="A37" s="5" t="s">
        <v>96</v>
      </c>
      <c r="B37" s="3">
        <v>1.3</v>
      </c>
      <c r="C37" s="5">
        <v>-0.29870288952959895</v>
      </c>
    </row>
    <row r="38" spans="1:3" x14ac:dyDescent="0.2">
      <c r="A38" s="5" t="s">
        <v>97</v>
      </c>
      <c r="B38" s="3">
        <v>4.8899999999999997</v>
      </c>
      <c r="C38" s="5">
        <v>0.1767855211095079</v>
      </c>
    </row>
    <row r="39" spans="1:3" x14ac:dyDescent="0.2">
      <c r="A39" s="5" t="s">
        <v>98</v>
      </c>
      <c r="C39" s="5">
        <v>0.59065620233751159</v>
      </c>
    </row>
    <row r="40" spans="1:3" x14ac:dyDescent="0.2">
      <c r="A40" s="5" t="s">
        <v>99</v>
      </c>
      <c r="B40" s="3">
        <v>999.99</v>
      </c>
      <c r="C40" s="5">
        <v>-1.009261066948276</v>
      </c>
    </row>
    <row r="41" spans="1:3" x14ac:dyDescent="0.2">
      <c r="A41" s="5" t="s">
        <v>100</v>
      </c>
      <c r="B41" s="3">
        <v>0.67</v>
      </c>
      <c r="C41" s="5">
        <v>-0.80311393174225176</v>
      </c>
    </row>
    <row r="42" spans="1:3" x14ac:dyDescent="0.2">
      <c r="A42" s="5" t="s">
        <v>101</v>
      </c>
      <c r="B42" s="3">
        <v>0.75</v>
      </c>
      <c r="C42" s="5">
        <v>-0.43810946255068917</v>
      </c>
    </row>
    <row r="43" spans="1:3" x14ac:dyDescent="0.2">
      <c r="A43" s="5" t="s">
        <v>102</v>
      </c>
      <c r="B43" s="3">
        <v>0.87</v>
      </c>
      <c r="C43" s="5">
        <v>-0.13569769695392273</v>
      </c>
    </row>
    <row r="44" spans="1:3" x14ac:dyDescent="0.2">
      <c r="A44" s="5" t="s">
        <v>103</v>
      </c>
      <c r="B44" s="3">
        <v>1.06</v>
      </c>
      <c r="C44" s="5">
        <v>1.6413981407147209E-2</v>
      </c>
    </row>
    <row r="45" spans="1:3" x14ac:dyDescent="0.2">
      <c r="A45" s="5" t="s">
        <v>104</v>
      </c>
      <c r="B45" s="3">
        <v>2.61</v>
      </c>
      <c r="C45" s="5">
        <v>0.76791058061439987</v>
      </c>
    </row>
    <row r="46" spans="1:3" x14ac:dyDescent="0.2">
      <c r="A46" s="5" t="s">
        <v>105</v>
      </c>
      <c r="C46" s="5">
        <v>2.2219244683972388</v>
      </c>
    </row>
    <row r="47" spans="1:3" x14ac:dyDescent="0.2">
      <c r="A47" s="5" t="s">
        <v>106</v>
      </c>
      <c r="B47" s="3">
        <v>999.99</v>
      </c>
      <c r="C47" s="5">
        <v>-0.4564017103071934</v>
      </c>
    </row>
    <row r="48" spans="1:3" x14ac:dyDescent="0.2">
      <c r="A48" s="5" t="s">
        <v>107</v>
      </c>
      <c r="B48" s="3">
        <v>-6.2700000000000005</v>
      </c>
      <c r="C48" s="5">
        <v>-0.82440465455113343</v>
      </c>
    </row>
    <row r="49" spans="1:3" x14ac:dyDescent="0.2">
      <c r="A49" s="5" t="s">
        <v>108</v>
      </c>
      <c r="B49" s="3">
        <v>3.5</v>
      </c>
      <c r="C49" s="5">
        <v>-0.4168320641034044</v>
      </c>
    </row>
    <row r="50" spans="1:3" x14ac:dyDescent="0.2">
      <c r="A50" s="5" t="s">
        <v>109</v>
      </c>
      <c r="B50" s="3">
        <v>6.5</v>
      </c>
      <c r="C50" s="5">
        <v>0.13048696489308195</v>
      </c>
    </row>
    <row r="51" spans="1:3" x14ac:dyDescent="0.2">
      <c r="A51" s="5" t="s">
        <v>110</v>
      </c>
      <c r="B51" s="3">
        <v>10.69</v>
      </c>
      <c r="C51" s="5">
        <v>0.58953301823701332</v>
      </c>
    </row>
    <row r="52" spans="1:3" x14ac:dyDescent="0.2">
      <c r="A52" s="5" t="s">
        <v>111</v>
      </c>
      <c r="B52" s="3">
        <v>22.1</v>
      </c>
      <c r="C52" s="5">
        <v>1.0366289405603273</v>
      </c>
    </row>
    <row r="53" spans="1:3" x14ac:dyDescent="0.2">
      <c r="A53" s="5" t="s">
        <v>112</v>
      </c>
      <c r="C53" s="5">
        <v>1.1500279271081761</v>
      </c>
    </row>
    <row r="54" spans="1:3" x14ac:dyDescent="0.2">
      <c r="A54" s="5" t="s">
        <v>113</v>
      </c>
      <c r="B54" s="3">
        <v>999.99</v>
      </c>
      <c r="C54" s="5">
        <v>-1.2818295015900087</v>
      </c>
    </row>
    <row r="55" spans="1:3" x14ac:dyDescent="0.2">
      <c r="A55" s="5" t="s">
        <v>114</v>
      </c>
      <c r="B55" s="3">
        <v>-2.09</v>
      </c>
      <c r="C55" s="5">
        <v>-0.73583996536635121</v>
      </c>
    </row>
    <row r="56" spans="1:3" x14ac:dyDescent="0.2">
      <c r="A56" s="5" t="s">
        <v>115</v>
      </c>
      <c r="B56" s="3">
        <v>8</v>
      </c>
      <c r="C56" s="5">
        <v>-0.59992171766575531</v>
      </c>
    </row>
    <row r="57" spans="1:3" x14ac:dyDescent="0.2">
      <c r="A57" s="5" t="s">
        <v>116</v>
      </c>
      <c r="B57" s="3">
        <v>31.95</v>
      </c>
      <c r="C57" s="5">
        <v>-0.15830489254200261</v>
      </c>
    </row>
    <row r="58" spans="1:3" x14ac:dyDescent="0.2">
      <c r="A58" s="5" t="s">
        <v>117</v>
      </c>
      <c r="B58" s="3">
        <v>35.770000000000003</v>
      </c>
      <c r="C58" s="5">
        <v>0.18604484652230463</v>
      </c>
    </row>
    <row r="59" spans="1:3" x14ac:dyDescent="0.2">
      <c r="A59" s="5" t="s">
        <v>118</v>
      </c>
      <c r="C59" s="5">
        <v>1.2070088030433157</v>
      </c>
    </row>
    <row r="60" spans="1:3" x14ac:dyDescent="0.2">
      <c r="A60" s="5" t="s">
        <v>119</v>
      </c>
      <c r="B60" s="3">
        <v>999.99</v>
      </c>
      <c r="C60" s="5">
        <v>-0.1994263047079487</v>
      </c>
    </row>
    <row r="61" spans="1:3" x14ac:dyDescent="0.2">
      <c r="A61" s="5" t="s">
        <v>120</v>
      </c>
      <c r="B61" s="3">
        <v>86.7</v>
      </c>
      <c r="C61" s="5">
        <v>-0.41940847962858419</v>
      </c>
    </row>
    <row r="62" spans="1:3" x14ac:dyDescent="0.2">
      <c r="A62" s="5" t="s">
        <v>121</v>
      </c>
      <c r="B62" s="3">
        <v>90.87</v>
      </c>
      <c r="C62" s="5">
        <v>-0.24935701542644406</v>
      </c>
    </row>
    <row r="63" spans="1:3" x14ac:dyDescent="0.2">
      <c r="A63" s="5" t="s">
        <v>122</v>
      </c>
      <c r="B63" s="3">
        <v>102.29</v>
      </c>
      <c r="C63" s="5">
        <v>-0.15239285472152403</v>
      </c>
    </row>
    <row r="64" spans="1:3" x14ac:dyDescent="0.2">
      <c r="A64" s="5" t="s">
        <v>123</v>
      </c>
      <c r="B64" s="3">
        <v>105.79</v>
      </c>
      <c r="C64" s="5">
        <v>0.12706469144712276</v>
      </c>
    </row>
    <row r="65" spans="1:3" x14ac:dyDescent="0.2">
      <c r="A65" s="5" t="s">
        <v>124</v>
      </c>
      <c r="C65" s="5">
        <v>0.43813815170215464</v>
      </c>
    </row>
    <row r="66" spans="1:3" ht="15" x14ac:dyDescent="0.25">
      <c r="A66" s="1" t="s">
        <v>170</v>
      </c>
      <c r="B66" s="1" t="s">
        <v>130</v>
      </c>
      <c r="C66" s="20">
        <v>0.65362886106834017</v>
      </c>
    </row>
    <row r="67" spans="1:3" ht="15" x14ac:dyDescent="0.25">
      <c r="A67" s="1" t="s">
        <v>171</v>
      </c>
      <c r="B67" s="1" t="s">
        <v>131</v>
      </c>
      <c r="C67" s="20">
        <v>-0.85438660577542691</v>
      </c>
    </row>
    <row r="68" spans="1:3" ht="15" x14ac:dyDescent="0.25">
      <c r="A68" s="1" t="s">
        <v>172</v>
      </c>
      <c r="B68" s="1" t="s">
        <v>132</v>
      </c>
      <c r="C68" s="20">
        <v>-0.2236528821009621</v>
      </c>
    </row>
    <row r="69" spans="1:3" ht="15" x14ac:dyDescent="0.25">
      <c r="A69" s="1" t="s">
        <v>173</v>
      </c>
      <c r="B69" s="1">
        <v>11</v>
      </c>
      <c r="C69" s="19">
        <v>0.72643025003990203</v>
      </c>
    </row>
    <row r="70" spans="1:3" ht="15" x14ac:dyDescent="0.25">
      <c r="A70" s="1" t="s">
        <v>174</v>
      </c>
      <c r="B70" s="1">
        <v>17</v>
      </c>
      <c r="C70" s="19">
        <v>0.18012897946831288</v>
      </c>
    </row>
    <row r="71" spans="1:3" ht="15" x14ac:dyDescent="0.25">
      <c r="A71" s="1" t="s">
        <v>175</v>
      </c>
      <c r="B71" s="1">
        <v>23</v>
      </c>
      <c r="C71" s="19">
        <v>-0.7858175529004563</v>
      </c>
    </row>
    <row r="72" spans="1:3" ht="15" x14ac:dyDescent="0.25">
      <c r="A72" s="1" t="s">
        <v>176</v>
      </c>
      <c r="C72" s="19">
        <v>-1.0733018209801155</v>
      </c>
    </row>
  </sheetData>
  <pageMargins left="0.7" right="0.7" top="0.75" bottom="0.75" header="0.3" footer="0.3"/>
  <pageSetup paperSize="9" orientation="portrait" horizontalDpi="204" verticalDpi="196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5"/>
  <sheetViews>
    <sheetView workbookViewId="0">
      <selection activeCell="E14" sqref="E14"/>
    </sheetView>
  </sheetViews>
  <sheetFormatPr defaultRowHeight="12.75" x14ac:dyDescent="0.2"/>
  <cols>
    <col min="1" max="1" width="10.42578125" style="1" bestFit="1" customWidth="1"/>
    <col min="2" max="3" width="23.28515625" style="1" bestFit="1" customWidth="1"/>
    <col min="4" max="16384" width="9.140625" style="1"/>
  </cols>
  <sheetData>
    <row r="1" spans="1:5" ht="13.5" thickBot="1" x14ac:dyDescent="0.25">
      <c r="A1" s="18" t="s">
        <v>133</v>
      </c>
      <c r="B1" s="11" t="s">
        <v>152</v>
      </c>
      <c r="C1" s="11" t="s">
        <v>153</v>
      </c>
      <c r="E1" s="1" t="s">
        <v>147</v>
      </c>
    </row>
    <row r="2" spans="1:5" ht="15.75" thickBot="1" x14ac:dyDescent="0.3">
      <c r="A2" s="17">
        <v>1</v>
      </c>
      <c r="B2" s="14"/>
      <c r="C2" s="15">
        <v>390.5</v>
      </c>
      <c r="D2" s="1">
        <v>1</v>
      </c>
      <c r="E2" s="21">
        <v>2.9999999999999997E-4</v>
      </c>
    </row>
    <row r="3" spans="1:5" ht="13.5" thickBot="1" x14ac:dyDescent="0.25">
      <c r="A3" s="10" t="s">
        <v>134</v>
      </c>
      <c r="B3" s="16">
        <v>390.5</v>
      </c>
      <c r="C3" s="16">
        <v>370.5</v>
      </c>
      <c r="D3" s="1">
        <v>2</v>
      </c>
      <c r="E3" s="22">
        <v>2.9999999999999997E-4</v>
      </c>
    </row>
    <row r="4" spans="1:5" ht="13.5" thickBot="1" x14ac:dyDescent="0.25">
      <c r="A4" s="10" t="s">
        <v>135</v>
      </c>
      <c r="B4" s="16">
        <v>370.5</v>
      </c>
      <c r="C4" s="16">
        <v>355.5</v>
      </c>
      <c r="D4" s="1">
        <v>3</v>
      </c>
      <c r="E4" s="22">
        <v>5.0000000000000001E-4</v>
      </c>
    </row>
    <row r="5" spans="1:5" ht="13.5" thickBot="1" x14ac:dyDescent="0.25">
      <c r="A5" s="10" t="s">
        <v>136</v>
      </c>
      <c r="B5" s="16">
        <v>355.5</v>
      </c>
      <c r="C5" s="16">
        <v>340.5</v>
      </c>
      <c r="D5" s="1">
        <v>4</v>
      </c>
      <c r="E5" s="22">
        <v>8.0000000000000004E-4</v>
      </c>
    </row>
    <row r="6" spans="1:5" ht="13.5" thickBot="1" x14ac:dyDescent="0.25">
      <c r="A6" s="10" t="s">
        <v>137</v>
      </c>
      <c r="B6" s="16">
        <v>340.5</v>
      </c>
      <c r="C6" s="16">
        <v>325.5</v>
      </c>
      <c r="D6" s="1">
        <v>5</v>
      </c>
      <c r="E6" s="22">
        <v>1.4E-3</v>
      </c>
    </row>
    <row r="7" spans="1:5" ht="13.5" thickBot="1" x14ac:dyDescent="0.25">
      <c r="A7" s="10" t="s">
        <v>138</v>
      </c>
      <c r="B7" s="16">
        <v>325.5</v>
      </c>
      <c r="C7" s="16">
        <v>310.5</v>
      </c>
      <c r="D7" s="1">
        <v>6</v>
      </c>
      <c r="E7" s="22">
        <v>2.3E-3</v>
      </c>
    </row>
    <row r="8" spans="1:5" ht="13.5" thickBot="1" x14ac:dyDescent="0.25">
      <c r="A8" s="10" t="s">
        <v>139</v>
      </c>
      <c r="B8" s="16">
        <v>310.5</v>
      </c>
      <c r="C8" s="16">
        <v>295.5</v>
      </c>
      <c r="D8" s="1">
        <v>7</v>
      </c>
      <c r="E8" s="22">
        <v>3.8999999999999998E-3</v>
      </c>
    </row>
    <row r="9" spans="1:5" ht="13.5" thickBot="1" x14ac:dyDescent="0.25">
      <c r="A9" s="10" t="s">
        <v>140</v>
      </c>
      <c r="B9" s="16">
        <v>295.5</v>
      </c>
      <c r="C9" s="16">
        <v>280.5</v>
      </c>
      <c r="D9" s="1">
        <v>8</v>
      </c>
      <c r="E9" s="22">
        <v>7.1000000000000004E-3</v>
      </c>
    </row>
    <row r="10" spans="1:5" ht="13.5" thickBot="1" x14ac:dyDescent="0.25">
      <c r="A10" s="10" t="s">
        <v>141</v>
      </c>
      <c r="B10" s="16">
        <v>280.5</v>
      </c>
      <c r="C10" s="16">
        <v>265.5</v>
      </c>
      <c r="D10" s="1">
        <v>9</v>
      </c>
      <c r="E10" s="22">
        <v>1.18E-2</v>
      </c>
    </row>
    <row r="11" spans="1:5" ht="13.5" thickBot="1" x14ac:dyDescent="0.25">
      <c r="A11" s="10" t="s">
        <v>142</v>
      </c>
      <c r="B11" s="16">
        <v>265.5</v>
      </c>
      <c r="C11" s="16">
        <v>250.5</v>
      </c>
      <c r="D11" s="1">
        <v>10</v>
      </c>
      <c r="E11" s="22">
        <v>1.9699999999999999E-2</v>
      </c>
    </row>
    <row r="12" spans="1:5" ht="13.5" thickBot="1" x14ac:dyDescent="0.25">
      <c r="A12" s="10" t="s">
        <v>143</v>
      </c>
      <c r="B12" s="16">
        <v>250.5</v>
      </c>
      <c r="C12" s="16">
        <v>235.5</v>
      </c>
      <c r="D12" s="1">
        <v>11</v>
      </c>
      <c r="E12" s="22">
        <v>2.93E-2</v>
      </c>
    </row>
    <row r="13" spans="1:5" ht="13.5" thickBot="1" x14ac:dyDescent="0.25">
      <c r="A13" s="10" t="s">
        <v>144</v>
      </c>
      <c r="B13" s="16">
        <v>235.5</v>
      </c>
      <c r="C13" s="16">
        <v>220.5</v>
      </c>
      <c r="D13" s="1">
        <v>12</v>
      </c>
      <c r="E13" s="22">
        <v>4.8300000000000003E-2</v>
      </c>
    </row>
    <row r="14" spans="1:5" ht="13.5" thickBot="1" x14ac:dyDescent="0.25">
      <c r="A14" s="10" t="s">
        <v>145</v>
      </c>
      <c r="B14" s="16">
        <v>220.5</v>
      </c>
      <c r="C14" s="16">
        <v>205.5</v>
      </c>
      <c r="D14" s="1">
        <v>13</v>
      </c>
      <c r="E14" s="22">
        <v>7.8E-2</v>
      </c>
    </row>
    <row r="15" spans="1:5" ht="15.75" thickBot="1" x14ac:dyDescent="0.3">
      <c r="A15" s="10" t="s">
        <v>146</v>
      </c>
      <c r="B15" s="16">
        <v>205.5</v>
      </c>
      <c r="C15" s="8"/>
      <c r="D15" s="1">
        <v>14</v>
      </c>
      <c r="E15" s="22">
        <v>0.1338</v>
      </c>
    </row>
  </sheetData>
  <sheetProtection algorithmName="SHA-512" hashValue="hgzHtP5tQSzT5D8z7utb+opzqlNn6b/7YJ4JqqaK9bBH6UxW2AAj49UQ+tuAPQOkSRTGUpQh+OTnzD/QR+6iZg==" saltValue="8Nkb34oPl7B3/VrZpTZnfw==" spinCount="100000" sheet="1" objects="1" scenarios="1"/>
  <pageMargins left="0.7" right="0.7" top="0.75" bottom="0.75" header="0.3" footer="0.3"/>
  <pageSetup paperSize="9" orientation="portrait" horizontalDpi="204" verticalDpi="196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15"/>
  <sheetViews>
    <sheetView workbookViewId="0">
      <selection activeCell="E14" sqref="E14"/>
    </sheetView>
  </sheetViews>
  <sheetFormatPr defaultRowHeight="12.75" x14ac:dyDescent="0.2"/>
  <cols>
    <col min="1" max="1" width="26.42578125" style="1" bestFit="1" customWidth="1"/>
    <col min="2" max="16384" width="9.140625" style="1"/>
  </cols>
  <sheetData>
    <row r="1" spans="1:7" ht="15.75" thickBot="1" x14ac:dyDescent="0.3">
      <c r="A1" s="9"/>
      <c r="B1" s="11" t="s">
        <v>126</v>
      </c>
      <c r="C1" s="11" t="s">
        <v>127</v>
      </c>
      <c r="D1" s="11" t="s">
        <v>128</v>
      </c>
      <c r="E1" s="11" t="s">
        <v>129</v>
      </c>
    </row>
    <row r="2" spans="1:7" ht="13.5" thickBot="1" x14ac:dyDescent="0.25">
      <c r="A2" s="10" t="s">
        <v>148</v>
      </c>
      <c r="B2" s="12">
        <v>-4.3899999999999997</v>
      </c>
      <c r="C2" s="12">
        <v>-5.13</v>
      </c>
      <c r="D2" s="12">
        <v>-4.96</v>
      </c>
      <c r="E2" s="12">
        <v>-5.25</v>
      </c>
    </row>
    <row r="3" spans="1:7" ht="13.5" thickBot="1" x14ac:dyDescent="0.25">
      <c r="A3" s="10" t="s">
        <v>169</v>
      </c>
      <c r="B3" s="12">
        <v>-0.4</v>
      </c>
      <c r="C3" s="12">
        <v>-0.27</v>
      </c>
      <c r="D3" s="12">
        <v>-0.39</v>
      </c>
      <c r="E3" s="12">
        <v>-0.75</v>
      </c>
    </row>
    <row r="4" spans="1:7" ht="15.75" thickBot="1" x14ac:dyDescent="0.3">
      <c r="A4" s="10" t="s">
        <v>157</v>
      </c>
      <c r="B4" s="12">
        <v>-0.36</v>
      </c>
      <c r="C4" s="13"/>
      <c r="D4" s="12">
        <v>-0.39</v>
      </c>
      <c r="E4" s="12">
        <v>-0.47</v>
      </c>
    </row>
    <row r="5" spans="1:7" ht="13.5" thickBot="1" x14ac:dyDescent="0.25">
      <c r="A5" s="10" t="s">
        <v>185</v>
      </c>
      <c r="B5" s="12">
        <v>-0.66</v>
      </c>
      <c r="C5" s="12">
        <v>-0.67</v>
      </c>
      <c r="D5" s="12">
        <v>-0.94</v>
      </c>
      <c r="E5" s="12">
        <v>-0.81</v>
      </c>
    </row>
    <row r="6" spans="1:7" ht="13.5" thickBot="1" x14ac:dyDescent="0.25">
      <c r="A6" s="10" t="s">
        <v>149</v>
      </c>
      <c r="B6" s="12">
        <v>-0.41</v>
      </c>
      <c r="C6" s="12">
        <v>-0.34</v>
      </c>
      <c r="D6" s="12">
        <v>-0.4</v>
      </c>
      <c r="E6" s="12">
        <v>-0.55000000000000004</v>
      </c>
    </row>
    <row r="7" spans="1:7" ht="13.5" thickBot="1" x14ac:dyDescent="0.25">
      <c r="A7" s="10" t="s">
        <v>158</v>
      </c>
      <c r="B7" s="12">
        <v>-0.63</v>
      </c>
      <c r="C7" s="12">
        <v>-0.54</v>
      </c>
      <c r="D7" s="12">
        <v>-0.79</v>
      </c>
      <c r="E7" s="12">
        <v>-0.77</v>
      </c>
    </row>
    <row r="8" spans="1:7" ht="13.5" thickBot="1" x14ac:dyDescent="0.25">
      <c r="A8" s="10" t="s">
        <v>159</v>
      </c>
      <c r="B8" s="12">
        <v>-0.16</v>
      </c>
      <c r="C8" s="12">
        <v>-0.25</v>
      </c>
      <c r="D8" s="12">
        <v>-0.03</v>
      </c>
      <c r="E8" s="12">
        <v>-0.28999999999999998</v>
      </c>
    </row>
    <row r="9" spans="1:7" ht="13.5" thickBot="1" x14ac:dyDescent="0.25">
      <c r="A9" s="10" t="s">
        <v>160</v>
      </c>
      <c r="B9" s="12">
        <v>-0.61</v>
      </c>
      <c r="C9" s="12">
        <v>-0.55000000000000004</v>
      </c>
      <c r="D9" s="12">
        <v>-0.67</v>
      </c>
      <c r="E9" s="12">
        <v>-0.54</v>
      </c>
    </row>
    <row r="10" spans="1:7" ht="15.75" thickBot="1" x14ac:dyDescent="0.3">
      <c r="A10" s="10" t="s">
        <v>161</v>
      </c>
      <c r="B10" s="12">
        <v>-0.53</v>
      </c>
      <c r="C10" s="12">
        <v>-0.44</v>
      </c>
      <c r="D10" s="13"/>
      <c r="E10" s="13"/>
    </row>
    <row r="11" spans="1:7" ht="13.5" thickBot="1" x14ac:dyDescent="0.25">
      <c r="A11" s="10" t="s">
        <v>162</v>
      </c>
      <c r="B11" s="12">
        <v>-0.38</v>
      </c>
      <c r="C11" s="12">
        <v>-0.33</v>
      </c>
      <c r="D11" s="12">
        <v>-0.35</v>
      </c>
      <c r="E11" s="12">
        <v>-0.42</v>
      </c>
      <c r="G11" s="33"/>
    </row>
    <row r="12" spans="1:7" ht="15.75" thickBot="1" x14ac:dyDescent="0.3">
      <c r="A12" s="10" t="s">
        <v>150</v>
      </c>
      <c r="B12" s="13"/>
      <c r="C12" s="13"/>
      <c r="D12" s="12">
        <v>-0.46</v>
      </c>
      <c r="E12" s="13"/>
    </row>
    <row r="13" spans="1:7" ht="13.5" thickBot="1" x14ac:dyDescent="0.25">
      <c r="A13" s="10" t="s">
        <v>163</v>
      </c>
      <c r="B13" s="12">
        <v>-0.49</v>
      </c>
      <c r="C13" s="12">
        <v>-0.47</v>
      </c>
      <c r="D13" s="12">
        <v>-0.54</v>
      </c>
      <c r="E13" s="12">
        <v>-0.37</v>
      </c>
    </row>
    <row r="14" spans="1:7" ht="13.5" thickBot="1" x14ac:dyDescent="0.25">
      <c r="A14" s="10" t="s">
        <v>164</v>
      </c>
      <c r="B14" s="12">
        <v>-0.87</v>
      </c>
      <c r="C14" s="12">
        <v>-0.83</v>
      </c>
      <c r="D14" s="12">
        <v>-0.78</v>
      </c>
      <c r="E14" s="12">
        <v>-1.03</v>
      </c>
    </row>
    <row r="15" spans="1:7" ht="15.75" thickBot="1" x14ac:dyDescent="0.3">
      <c r="A15" s="10" t="s">
        <v>165</v>
      </c>
      <c r="B15" s="13"/>
      <c r="C15" s="12">
        <v>-0.42</v>
      </c>
      <c r="D15" s="13"/>
      <c r="E15" s="12">
        <v>-0.82</v>
      </c>
    </row>
  </sheetData>
  <sheetProtection algorithmName="SHA-512" hashValue="Gf6zxQJCo0xHUD3HQYNmFEGPxDrEySD56Xcc2kGEJnLbhOyz4csccDLPe4Xf2HxIs5F1TWYfTJnfgVjcHOmKVw==" saltValue="UKb63etIvtErY95RvARoJg==" spinCount="100000" sheet="1" objects="1" scenarios="1"/>
  <pageMargins left="0.7" right="0.7" top="0.75" bottom="0.75" header="0.3" footer="0.3"/>
  <pageSetup paperSize="9" orientation="portrait" horizontalDpi="204" verticalDpi="196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76"/>
  <sheetViews>
    <sheetView workbookViewId="0">
      <selection activeCell="E14" sqref="E14"/>
    </sheetView>
  </sheetViews>
  <sheetFormatPr defaultRowHeight="15" x14ac:dyDescent="0.25"/>
  <cols>
    <col min="1" max="1" width="20.42578125" style="1" bestFit="1" customWidth="1"/>
    <col min="2" max="2" width="9.140625" style="1"/>
    <col min="3" max="3" width="12.28515625" style="1" customWidth="1"/>
    <col min="4" max="4" width="47.140625" style="1" customWidth="1"/>
    <col min="5" max="5" width="10" style="1" bestFit="1" customWidth="1"/>
    <col min="6" max="6" width="9.140625" style="1"/>
    <col min="7" max="7" width="14.140625" style="1" customWidth="1"/>
    <col min="8" max="8" width="32.7109375" style="1" bestFit="1" customWidth="1"/>
    <col min="9" max="14" width="9.140625" style="1"/>
    <col min="16" max="16384" width="9.140625" style="1"/>
  </cols>
  <sheetData>
    <row r="1" spans="1:9" x14ac:dyDescent="0.25">
      <c r="A1" s="1" t="s">
        <v>125</v>
      </c>
      <c r="C1" s="1" t="s">
        <v>0</v>
      </c>
      <c r="H1" s="1" t="s">
        <v>180</v>
      </c>
    </row>
    <row r="2" spans="1:9" x14ac:dyDescent="0.25">
      <c r="A2" s="6" t="s">
        <v>131</v>
      </c>
      <c r="B2" s="6"/>
      <c r="C2" s="1">
        <v>1</v>
      </c>
      <c r="D2" t="s">
        <v>191</v>
      </c>
      <c r="E2" s="1" t="s">
        <v>127</v>
      </c>
      <c r="F2" s="1">
        <v>2</v>
      </c>
      <c r="H2" s="1" t="s">
        <v>190</v>
      </c>
      <c r="I2" s="1">
        <v>0</v>
      </c>
    </row>
    <row r="3" spans="1:9" x14ac:dyDescent="0.25">
      <c r="A3" s="6" t="s">
        <v>130</v>
      </c>
      <c r="B3" s="6"/>
      <c r="C3" s="1">
        <v>2</v>
      </c>
      <c r="D3" t="s">
        <v>192</v>
      </c>
      <c r="E3" s="1" t="s">
        <v>127</v>
      </c>
      <c r="F3" s="1">
        <v>2</v>
      </c>
      <c r="H3" s="1" t="s">
        <v>188</v>
      </c>
      <c r="I3" s="1">
        <v>0</v>
      </c>
    </row>
    <row r="4" spans="1:9" x14ac:dyDescent="0.25">
      <c r="A4" s="6" t="s">
        <v>132</v>
      </c>
      <c r="B4" s="6"/>
      <c r="C4" s="1">
        <v>7</v>
      </c>
      <c r="D4" t="s">
        <v>193</v>
      </c>
      <c r="E4" s="1" t="s">
        <v>127</v>
      </c>
      <c r="F4" s="1">
        <v>2</v>
      </c>
      <c r="H4" s="1" t="s">
        <v>181</v>
      </c>
      <c r="I4" s="1">
        <v>1</v>
      </c>
    </row>
    <row r="5" spans="1:9" x14ac:dyDescent="0.25">
      <c r="C5" s="1">
        <v>8</v>
      </c>
      <c r="D5" t="s">
        <v>194</v>
      </c>
      <c r="E5" s="1" t="s">
        <v>127</v>
      </c>
      <c r="F5" s="1">
        <v>2</v>
      </c>
      <c r="H5" s="1" t="s">
        <v>182</v>
      </c>
      <c r="I5" s="1">
        <v>3</v>
      </c>
    </row>
    <row r="6" spans="1:9" x14ac:dyDescent="0.25">
      <c r="C6" s="1">
        <v>9</v>
      </c>
      <c r="D6" t="s">
        <v>195</v>
      </c>
      <c r="E6" s="1" t="s">
        <v>127</v>
      </c>
      <c r="F6" s="1">
        <v>2</v>
      </c>
      <c r="H6" s="1" t="s">
        <v>189</v>
      </c>
      <c r="I6" s="1">
        <v>2</v>
      </c>
    </row>
    <row r="7" spans="1:9" x14ac:dyDescent="0.25">
      <c r="C7" s="1">
        <v>10</v>
      </c>
      <c r="D7" t="s">
        <v>196</v>
      </c>
      <c r="E7" s="1" t="s">
        <v>126</v>
      </c>
      <c r="F7" s="1">
        <v>1</v>
      </c>
      <c r="H7" s="1" t="s">
        <v>266</v>
      </c>
      <c r="I7" s="1">
        <v>1</v>
      </c>
    </row>
    <row r="8" spans="1:9" x14ac:dyDescent="0.25">
      <c r="C8" s="1">
        <v>12</v>
      </c>
      <c r="D8" t="s">
        <v>197</v>
      </c>
      <c r="E8" s="1" t="s">
        <v>126</v>
      </c>
      <c r="F8" s="1">
        <v>1</v>
      </c>
    </row>
    <row r="9" spans="1:9" x14ac:dyDescent="0.25">
      <c r="C9" s="1">
        <v>13</v>
      </c>
      <c r="D9" s="1" t="s">
        <v>198</v>
      </c>
      <c r="E9" s="1" t="s">
        <v>126</v>
      </c>
      <c r="F9" s="1">
        <v>1</v>
      </c>
    </row>
    <row r="10" spans="1:9" x14ac:dyDescent="0.25">
      <c r="C10" s="1">
        <v>14</v>
      </c>
      <c r="D10" t="s">
        <v>199</v>
      </c>
      <c r="E10" s="1" t="s">
        <v>126</v>
      </c>
      <c r="F10" s="1">
        <v>1</v>
      </c>
    </row>
    <row r="11" spans="1:9" x14ac:dyDescent="0.25">
      <c r="C11" s="1">
        <v>15</v>
      </c>
      <c r="D11" s="1" t="s">
        <v>200</v>
      </c>
      <c r="E11" s="1" t="s">
        <v>126</v>
      </c>
      <c r="F11" s="1">
        <v>1</v>
      </c>
    </row>
    <row r="12" spans="1:9" x14ac:dyDescent="0.25">
      <c r="C12" s="1">
        <v>16</v>
      </c>
      <c r="D12" s="1" t="s">
        <v>201</v>
      </c>
      <c r="E12" s="1" t="s">
        <v>126</v>
      </c>
      <c r="F12" s="1">
        <v>1</v>
      </c>
    </row>
    <row r="13" spans="1:9" x14ac:dyDescent="0.25">
      <c r="C13" s="1">
        <v>17</v>
      </c>
      <c r="D13" s="1" t="s">
        <v>202</v>
      </c>
      <c r="E13" s="1" t="s">
        <v>126</v>
      </c>
      <c r="F13" s="1">
        <v>1</v>
      </c>
    </row>
    <row r="14" spans="1:9" x14ac:dyDescent="0.25">
      <c r="C14" s="1">
        <v>20</v>
      </c>
      <c r="D14" t="s">
        <v>203</v>
      </c>
      <c r="E14" s="1" t="s">
        <v>127</v>
      </c>
      <c r="F14" s="1">
        <v>2</v>
      </c>
    </row>
    <row r="15" spans="1:9" x14ac:dyDescent="0.25">
      <c r="C15" s="1">
        <v>21</v>
      </c>
      <c r="D15" t="s">
        <v>204</v>
      </c>
      <c r="E15" s="1" t="s">
        <v>127</v>
      </c>
      <c r="F15" s="1">
        <v>2</v>
      </c>
    </row>
    <row r="16" spans="1:9" x14ac:dyDescent="0.25">
      <c r="C16" s="1">
        <v>22</v>
      </c>
      <c r="D16" t="s">
        <v>205</v>
      </c>
      <c r="E16" s="1" t="s">
        <v>127</v>
      </c>
      <c r="F16" s="1">
        <v>2</v>
      </c>
    </row>
    <row r="17" spans="3:6" x14ac:dyDescent="0.25">
      <c r="C17" s="1">
        <v>23</v>
      </c>
      <c r="D17" t="s">
        <v>206</v>
      </c>
      <c r="E17" s="1" t="s">
        <v>127</v>
      </c>
      <c r="F17" s="1">
        <v>2</v>
      </c>
    </row>
    <row r="18" spans="3:6" x14ac:dyDescent="0.25">
      <c r="C18" s="1">
        <v>24</v>
      </c>
      <c r="D18" t="s">
        <v>207</v>
      </c>
      <c r="E18" s="1" t="s">
        <v>127</v>
      </c>
      <c r="F18" s="1">
        <v>2</v>
      </c>
    </row>
    <row r="19" spans="3:6" x14ac:dyDescent="0.25">
      <c r="C19" s="1">
        <v>25</v>
      </c>
      <c r="D19" t="s">
        <v>208</v>
      </c>
      <c r="E19" s="1" t="s">
        <v>127</v>
      </c>
      <c r="F19" s="1">
        <v>2</v>
      </c>
    </row>
    <row r="20" spans="3:6" x14ac:dyDescent="0.25">
      <c r="C20" s="1">
        <v>26</v>
      </c>
      <c r="D20" t="s">
        <v>209</v>
      </c>
      <c r="E20" s="1" t="s">
        <v>127</v>
      </c>
      <c r="F20" s="1">
        <v>2</v>
      </c>
    </row>
    <row r="21" spans="3:6" x14ac:dyDescent="0.25">
      <c r="C21" s="1">
        <v>27</v>
      </c>
      <c r="D21" s="1" t="s">
        <v>210</v>
      </c>
      <c r="E21" s="1" t="s">
        <v>127</v>
      </c>
      <c r="F21" s="1">
        <v>2</v>
      </c>
    </row>
    <row r="22" spans="3:6" x14ac:dyDescent="0.25">
      <c r="C22" s="1">
        <v>28</v>
      </c>
      <c r="D22" t="s">
        <v>211</v>
      </c>
      <c r="E22" s="1" t="s">
        <v>127</v>
      </c>
      <c r="F22" s="1">
        <v>2</v>
      </c>
    </row>
    <row r="23" spans="3:6" x14ac:dyDescent="0.25">
      <c r="C23" s="1">
        <v>29</v>
      </c>
      <c r="D23" t="s">
        <v>212</v>
      </c>
      <c r="E23" s="1" t="s">
        <v>127</v>
      </c>
      <c r="F23" s="1">
        <v>2</v>
      </c>
    </row>
    <row r="24" spans="3:6" x14ac:dyDescent="0.25">
      <c r="C24" s="1">
        <v>30</v>
      </c>
      <c r="D24" t="s">
        <v>213</v>
      </c>
      <c r="E24" s="1" t="s">
        <v>127</v>
      </c>
      <c r="F24" s="1">
        <v>2</v>
      </c>
    </row>
    <row r="25" spans="3:6" x14ac:dyDescent="0.25">
      <c r="C25" s="1">
        <v>31</v>
      </c>
      <c r="D25" t="s">
        <v>214</v>
      </c>
      <c r="E25" s="1" t="s">
        <v>127</v>
      </c>
      <c r="F25" s="1">
        <v>2</v>
      </c>
    </row>
    <row r="26" spans="3:6" x14ac:dyDescent="0.25">
      <c r="C26" s="1">
        <v>32</v>
      </c>
      <c r="D26" t="s">
        <v>215</v>
      </c>
      <c r="E26" s="1" t="s">
        <v>127</v>
      </c>
      <c r="F26" s="1">
        <v>2</v>
      </c>
    </row>
    <row r="27" spans="3:6" x14ac:dyDescent="0.25">
      <c r="C27" s="1">
        <v>33</v>
      </c>
      <c r="D27" t="s">
        <v>216</v>
      </c>
      <c r="E27" s="1" t="s">
        <v>127</v>
      </c>
      <c r="F27" s="1">
        <v>2</v>
      </c>
    </row>
    <row r="28" spans="3:6" x14ac:dyDescent="0.25">
      <c r="C28" s="1">
        <v>34</v>
      </c>
      <c r="D28" t="s">
        <v>217</v>
      </c>
      <c r="E28" s="1" t="s">
        <v>127</v>
      </c>
      <c r="F28" s="1">
        <v>2</v>
      </c>
    </row>
    <row r="29" spans="3:6" x14ac:dyDescent="0.25">
      <c r="C29" s="1">
        <v>35</v>
      </c>
      <c r="D29" s="1" t="s">
        <v>218</v>
      </c>
      <c r="E29" s="1" t="s">
        <v>127</v>
      </c>
      <c r="F29" s="1">
        <v>2</v>
      </c>
    </row>
    <row r="30" spans="3:6" x14ac:dyDescent="0.25">
      <c r="C30" s="1">
        <v>36</v>
      </c>
      <c r="D30" s="1" t="s">
        <v>219</v>
      </c>
      <c r="E30" s="1" t="s">
        <v>127</v>
      </c>
      <c r="F30" s="1">
        <v>2</v>
      </c>
    </row>
    <row r="31" spans="3:6" x14ac:dyDescent="0.25">
      <c r="C31" s="1">
        <v>37</v>
      </c>
      <c r="D31" s="1" t="s">
        <v>220</v>
      </c>
      <c r="E31" s="1" t="s">
        <v>127</v>
      </c>
      <c r="F31" s="1">
        <v>2</v>
      </c>
    </row>
    <row r="32" spans="3:6" x14ac:dyDescent="0.25">
      <c r="C32" s="1">
        <v>38</v>
      </c>
      <c r="D32" s="1" t="s">
        <v>221</v>
      </c>
      <c r="E32" s="1" t="s">
        <v>127</v>
      </c>
      <c r="F32" s="1">
        <v>2</v>
      </c>
    </row>
    <row r="33" spans="3:6" x14ac:dyDescent="0.25">
      <c r="C33" s="1">
        <v>39</v>
      </c>
      <c r="D33" s="1" t="s">
        <v>222</v>
      </c>
      <c r="E33" s="1" t="s">
        <v>127</v>
      </c>
      <c r="F33" s="1">
        <v>2</v>
      </c>
    </row>
    <row r="34" spans="3:6" x14ac:dyDescent="0.25">
      <c r="C34" s="1">
        <v>40</v>
      </c>
      <c r="D34" s="1" t="s">
        <v>223</v>
      </c>
      <c r="E34" s="1" t="s">
        <v>126</v>
      </c>
      <c r="F34" s="1">
        <v>1</v>
      </c>
    </row>
    <row r="35" spans="3:6" x14ac:dyDescent="0.25">
      <c r="C35" s="1">
        <v>41</v>
      </c>
      <c r="D35" s="1" t="s">
        <v>224</v>
      </c>
      <c r="E35" s="1" t="s">
        <v>126</v>
      </c>
      <c r="F35" s="1">
        <v>1</v>
      </c>
    </row>
    <row r="36" spans="3:6" x14ac:dyDescent="0.25">
      <c r="C36" s="1">
        <v>42</v>
      </c>
      <c r="D36" s="1" t="s">
        <v>225</v>
      </c>
      <c r="E36" s="1" t="s">
        <v>126</v>
      </c>
      <c r="F36" s="1">
        <v>1</v>
      </c>
    </row>
    <row r="37" spans="3:6" x14ac:dyDescent="0.25">
      <c r="C37" s="1">
        <v>43</v>
      </c>
      <c r="D37" s="1" t="s">
        <v>226</v>
      </c>
      <c r="E37" s="1" t="s">
        <v>126</v>
      </c>
      <c r="F37" s="1">
        <v>1</v>
      </c>
    </row>
    <row r="38" spans="3:6" x14ac:dyDescent="0.25">
      <c r="C38" s="1">
        <v>44</v>
      </c>
      <c r="D38" s="1" t="s">
        <v>227</v>
      </c>
      <c r="E38" s="1" t="s">
        <v>126</v>
      </c>
      <c r="F38" s="1">
        <v>1</v>
      </c>
    </row>
    <row r="39" spans="3:6" x14ac:dyDescent="0.25">
      <c r="C39" s="1">
        <v>45</v>
      </c>
      <c r="D39" s="1" t="s">
        <v>228</v>
      </c>
      <c r="E39" s="1" t="s">
        <v>126</v>
      </c>
      <c r="F39" s="1">
        <v>1</v>
      </c>
    </row>
    <row r="40" spans="3:6" x14ac:dyDescent="0.25">
      <c r="C40" s="1">
        <v>46</v>
      </c>
      <c r="D40" s="1" t="s">
        <v>229</v>
      </c>
      <c r="E40" s="1" t="s">
        <v>126</v>
      </c>
      <c r="F40" s="1">
        <v>1</v>
      </c>
    </row>
    <row r="41" spans="3:6" x14ac:dyDescent="0.25">
      <c r="C41" s="1">
        <v>47</v>
      </c>
      <c r="D41" s="1" t="s">
        <v>230</v>
      </c>
      <c r="E41" s="1" t="s">
        <v>126</v>
      </c>
      <c r="F41" s="1">
        <v>1</v>
      </c>
    </row>
    <row r="42" spans="3:6" x14ac:dyDescent="0.25">
      <c r="C42" s="1">
        <v>48</v>
      </c>
      <c r="D42" s="1" t="s">
        <v>231</v>
      </c>
      <c r="E42" s="1" t="s">
        <v>126</v>
      </c>
      <c r="F42" s="1">
        <v>1</v>
      </c>
    </row>
    <row r="43" spans="3:6" x14ac:dyDescent="0.25">
      <c r="C43" s="1">
        <v>49</v>
      </c>
      <c r="D43" s="1" t="s">
        <v>232</v>
      </c>
      <c r="E43" s="1" t="s">
        <v>126</v>
      </c>
      <c r="F43" s="1">
        <v>1</v>
      </c>
    </row>
    <row r="44" spans="3:6" x14ac:dyDescent="0.25">
      <c r="C44" s="1">
        <v>50</v>
      </c>
      <c r="D44" s="1" t="s">
        <v>233</v>
      </c>
      <c r="E44" s="1" t="s">
        <v>129</v>
      </c>
      <c r="F44" s="1">
        <v>4</v>
      </c>
    </row>
    <row r="45" spans="3:6" x14ac:dyDescent="0.25">
      <c r="C45" s="1">
        <v>51</v>
      </c>
      <c r="D45" s="1" t="s">
        <v>234</v>
      </c>
      <c r="E45" s="1" t="s">
        <v>129</v>
      </c>
      <c r="F45" s="1">
        <v>4</v>
      </c>
    </row>
    <row r="46" spans="3:6" x14ac:dyDescent="0.25">
      <c r="C46" s="1">
        <v>52</v>
      </c>
      <c r="D46" s="1" t="s">
        <v>235</v>
      </c>
      <c r="E46" s="1" t="s">
        <v>129</v>
      </c>
      <c r="F46" s="1">
        <v>4</v>
      </c>
    </row>
    <row r="47" spans="3:6" x14ac:dyDescent="0.25">
      <c r="C47" s="1">
        <v>53</v>
      </c>
      <c r="D47" s="1" t="s">
        <v>236</v>
      </c>
      <c r="E47" s="1" t="s">
        <v>129</v>
      </c>
      <c r="F47" s="1">
        <v>4</v>
      </c>
    </row>
    <row r="48" spans="3:6" x14ac:dyDescent="0.25">
      <c r="C48" s="1">
        <v>54</v>
      </c>
      <c r="D48" s="1" t="s">
        <v>237</v>
      </c>
      <c r="E48" s="1" t="s">
        <v>129</v>
      </c>
      <c r="F48" s="1">
        <v>4</v>
      </c>
    </row>
    <row r="49" spans="3:6" x14ac:dyDescent="0.25">
      <c r="C49" s="1">
        <v>55</v>
      </c>
      <c r="D49" s="1" t="s">
        <v>238</v>
      </c>
      <c r="E49" s="1" t="s">
        <v>129</v>
      </c>
      <c r="F49" s="1">
        <v>4</v>
      </c>
    </row>
    <row r="50" spans="3:6" x14ac:dyDescent="0.25">
      <c r="C50" s="1">
        <v>56</v>
      </c>
      <c r="D50" s="1" t="s">
        <v>239</v>
      </c>
      <c r="E50" s="1" t="s">
        <v>129</v>
      </c>
      <c r="F50" s="1">
        <v>4</v>
      </c>
    </row>
    <row r="51" spans="3:6" x14ac:dyDescent="0.25">
      <c r="C51" s="1">
        <v>57</v>
      </c>
      <c r="D51" s="1" t="s">
        <v>240</v>
      </c>
      <c r="E51" s="1" t="s">
        <v>129</v>
      </c>
      <c r="F51" s="1">
        <v>4</v>
      </c>
    </row>
    <row r="52" spans="3:6" x14ac:dyDescent="0.25">
      <c r="C52" s="1">
        <v>58</v>
      </c>
      <c r="D52" s="1" t="s">
        <v>241</v>
      </c>
      <c r="E52" s="1" t="s">
        <v>129</v>
      </c>
      <c r="F52" s="1">
        <v>4</v>
      </c>
    </row>
    <row r="53" spans="3:6" x14ac:dyDescent="0.25">
      <c r="C53" s="1">
        <v>59</v>
      </c>
      <c r="D53" s="1" t="s">
        <v>242</v>
      </c>
      <c r="E53" s="1" t="s">
        <v>129</v>
      </c>
      <c r="F53" s="1">
        <v>4</v>
      </c>
    </row>
    <row r="54" spans="3:6" x14ac:dyDescent="0.25">
      <c r="C54" s="1">
        <v>60</v>
      </c>
      <c r="D54" s="1" t="s">
        <v>243</v>
      </c>
      <c r="E54" s="1" t="s">
        <v>128</v>
      </c>
      <c r="F54" s="1">
        <v>3</v>
      </c>
    </row>
    <row r="55" spans="3:6" x14ac:dyDescent="0.25">
      <c r="C55" s="1">
        <v>61</v>
      </c>
      <c r="D55" s="1" t="s">
        <v>244</v>
      </c>
      <c r="E55" s="1" t="s">
        <v>128</v>
      </c>
      <c r="F55" s="1">
        <v>3</v>
      </c>
    </row>
    <row r="56" spans="3:6" x14ac:dyDescent="0.25">
      <c r="C56" s="1">
        <v>62</v>
      </c>
      <c r="D56" s="1" t="s">
        <v>245</v>
      </c>
      <c r="E56" s="1" t="s">
        <v>128</v>
      </c>
      <c r="F56" s="1">
        <v>3</v>
      </c>
    </row>
    <row r="57" spans="3:6" x14ac:dyDescent="0.25">
      <c r="C57" s="1">
        <v>63</v>
      </c>
      <c r="D57" s="1" t="s">
        <v>246</v>
      </c>
      <c r="E57" s="1" t="s">
        <v>128</v>
      </c>
      <c r="F57" s="1">
        <v>3</v>
      </c>
    </row>
    <row r="58" spans="3:6" x14ac:dyDescent="0.25">
      <c r="C58" s="1">
        <v>64</v>
      </c>
      <c r="D58" s="1" t="s">
        <v>247</v>
      </c>
      <c r="E58" s="1" t="s">
        <v>128</v>
      </c>
      <c r="F58" s="1">
        <v>3</v>
      </c>
    </row>
    <row r="59" spans="3:6" x14ac:dyDescent="0.25">
      <c r="C59" s="1">
        <v>65</v>
      </c>
      <c r="D59" s="1" t="s">
        <v>248</v>
      </c>
      <c r="E59" s="1" t="s">
        <v>128</v>
      </c>
      <c r="F59" s="1">
        <v>3</v>
      </c>
    </row>
    <row r="60" spans="3:6" x14ac:dyDescent="0.25">
      <c r="C60" s="1">
        <v>67</v>
      </c>
      <c r="D60" s="1" t="s">
        <v>249</v>
      </c>
      <c r="E60" s="1" t="s">
        <v>128</v>
      </c>
      <c r="F60" s="1">
        <v>3</v>
      </c>
    </row>
    <row r="61" spans="3:6" x14ac:dyDescent="0.25">
      <c r="C61" s="1">
        <v>70</v>
      </c>
      <c r="D61" s="1" t="s">
        <v>250</v>
      </c>
      <c r="E61" s="1" t="s">
        <v>128</v>
      </c>
      <c r="F61" s="1">
        <v>3</v>
      </c>
    </row>
    <row r="62" spans="3:6" x14ac:dyDescent="0.25">
      <c r="C62" s="1">
        <v>72</v>
      </c>
      <c r="D62" s="1" t="s">
        <v>251</v>
      </c>
      <c r="E62" s="1" t="s">
        <v>128</v>
      </c>
      <c r="F62" s="1">
        <v>3</v>
      </c>
    </row>
    <row r="63" spans="3:6" x14ac:dyDescent="0.25">
      <c r="C63" s="1">
        <v>73</v>
      </c>
      <c r="D63" s="1" t="s">
        <v>252</v>
      </c>
      <c r="E63" s="1" t="s">
        <v>128</v>
      </c>
      <c r="F63" s="1">
        <v>3</v>
      </c>
    </row>
    <row r="64" spans="3:6" x14ac:dyDescent="0.25">
      <c r="C64" s="1">
        <v>75</v>
      </c>
      <c r="D64" s="1" t="s">
        <v>253</v>
      </c>
      <c r="E64" s="1" t="s">
        <v>128</v>
      </c>
      <c r="F64" s="1">
        <v>3</v>
      </c>
    </row>
    <row r="65" spans="3:6" x14ac:dyDescent="0.25">
      <c r="C65" s="1">
        <v>76</v>
      </c>
      <c r="D65" s="1" t="s">
        <v>254</v>
      </c>
      <c r="E65" s="1" t="s">
        <v>128</v>
      </c>
      <c r="F65" s="1">
        <v>3</v>
      </c>
    </row>
    <row r="66" spans="3:6" x14ac:dyDescent="0.25">
      <c r="C66" s="1">
        <v>78</v>
      </c>
      <c r="D66" s="1" t="s">
        <v>255</v>
      </c>
      <c r="E66" s="1" t="s">
        <v>128</v>
      </c>
      <c r="F66" s="1">
        <v>3</v>
      </c>
    </row>
    <row r="67" spans="3:6" x14ac:dyDescent="0.25">
      <c r="C67" s="1">
        <v>79</v>
      </c>
      <c r="D67" s="1" t="s">
        <v>256</v>
      </c>
      <c r="E67" s="1" t="s">
        <v>128</v>
      </c>
      <c r="F67" s="1">
        <v>3</v>
      </c>
    </row>
    <row r="68" spans="3:6" x14ac:dyDescent="0.25">
      <c r="C68" s="1">
        <v>80</v>
      </c>
      <c r="D68" s="1" t="s">
        <v>257</v>
      </c>
      <c r="E68" s="1" t="s">
        <v>128</v>
      </c>
      <c r="F68" s="1">
        <v>3</v>
      </c>
    </row>
    <row r="69" spans="3:6" x14ac:dyDescent="0.25">
      <c r="C69" s="1">
        <v>81</v>
      </c>
      <c r="D69" s="1" t="s">
        <v>258</v>
      </c>
      <c r="E69" s="1" t="s">
        <v>128</v>
      </c>
      <c r="F69" s="1">
        <v>3</v>
      </c>
    </row>
    <row r="70" spans="3:6" x14ac:dyDescent="0.25">
      <c r="C70" s="1">
        <v>82</v>
      </c>
      <c r="D70" s="1" t="s">
        <v>259</v>
      </c>
      <c r="E70" s="1" t="s">
        <v>128</v>
      </c>
      <c r="F70" s="1">
        <v>3</v>
      </c>
    </row>
    <row r="71" spans="3:6" x14ac:dyDescent="0.25">
      <c r="C71" s="1">
        <v>83</v>
      </c>
      <c r="D71" s="1" t="s">
        <v>260</v>
      </c>
      <c r="E71" s="1" t="s">
        <v>128</v>
      </c>
      <c r="F71" s="1">
        <v>3</v>
      </c>
    </row>
    <row r="72" spans="3:6" x14ac:dyDescent="0.25">
      <c r="C72" s="1">
        <v>84</v>
      </c>
      <c r="D72" s="1" t="s">
        <v>261</v>
      </c>
      <c r="E72" s="1" t="s">
        <v>128</v>
      </c>
      <c r="F72" s="1">
        <v>3</v>
      </c>
    </row>
    <row r="73" spans="3:6" x14ac:dyDescent="0.25">
      <c r="C73" s="1">
        <v>86</v>
      </c>
      <c r="D73" s="1" t="s">
        <v>262</v>
      </c>
      <c r="E73" s="1" t="s">
        <v>128</v>
      </c>
      <c r="F73" s="1">
        <v>3</v>
      </c>
    </row>
    <row r="74" spans="3:6" x14ac:dyDescent="0.25">
      <c r="C74" s="1">
        <v>87</v>
      </c>
      <c r="D74" s="1" t="s">
        <v>263</v>
      </c>
      <c r="E74" s="1" t="s">
        <v>128</v>
      </c>
      <c r="F74" s="1">
        <v>3</v>
      </c>
    </row>
    <row r="75" spans="3:6" x14ac:dyDescent="0.25">
      <c r="C75" s="1">
        <v>88</v>
      </c>
      <c r="D75" s="1" t="s">
        <v>264</v>
      </c>
      <c r="E75" s="1" t="s">
        <v>128</v>
      </c>
      <c r="F75" s="1">
        <v>3</v>
      </c>
    </row>
    <row r="76" spans="3:6" x14ac:dyDescent="0.25">
      <c r="C76" s="1">
        <v>89</v>
      </c>
      <c r="D76" s="1" t="s">
        <v>265</v>
      </c>
      <c r="E76" s="1" t="s">
        <v>128</v>
      </c>
      <c r="F76" s="1">
        <v>3</v>
      </c>
    </row>
  </sheetData>
  <sheetProtection algorithmName="SHA-512" hashValue="BEt1mt5206GNeYvk0+7jalaysgmFReHvExLe5cxTbPb3PMo4EugDuxP1HIq/4RoYOfEF3uKDoatp6DxDstqtwg==" saltValue="WuLrorz41Ke9E9ulUTPzxQ==" spinCount="100000" sheet="1" objects="1" scenarios="1"/>
  <conditionalFormatting sqref="A2:B4">
    <cfRule type="cellIs" dxfId="2" priority="3" operator="lessThan">
      <formula>0</formula>
    </cfRule>
  </conditionalFormatting>
  <pageMargins left="0.7" right="0.7" top="0.75" bottom="0.75" header="0.3" footer="0.3"/>
  <pageSetup paperSize="9" orientation="portrait" horizontalDpi="204" verticalDpi="196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E63"/>
  <sheetViews>
    <sheetView workbookViewId="0">
      <selection activeCell="E14" sqref="E14"/>
    </sheetView>
  </sheetViews>
  <sheetFormatPr defaultRowHeight="12.75" x14ac:dyDescent="0.2"/>
  <cols>
    <col min="1" max="1" width="20.28515625" style="1" bestFit="1" customWidth="1"/>
    <col min="2" max="16384" width="9.140625" style="1"/>
  </cols>
  <sheetData>
    <row r="1" spans="1:5" x14ac:dyDescent="0.2">
      <c r="A1" s="3" t="s">
        <v>1</v>
      </c>
      <c r="B1" s="3">
        <v>1</v>
      </c>
      <c r="C1" s="3">
        <v>2</v>
      </c>
      <c r="D1" s="3">
        <v>3</v>
      </c>
      <c r="E1" s="3">
        <v>4</v>
      </c>
    </row>
    <row r="2" spans="1:5" x14ac:dyDescent="0.2">
      <c r="A2" s="3" t="s">
        <v>2</v>
      </c>
      <c r="B2" s="3">
        <v>999.99</v>
      </c>
      <c r="C2" s="3">
        <v>999.99</v>
      </c>
      <c r="D2" s="3">
        <v>999.99</v>
      </c>
      <c r="E2" s="3">
        <v>999.99</v>
      </c>
    </row>
    <row r="3" spans="1:5" x14ac:dyDescent="0.2">
      <c r="A3" s="3" t="s">
        <v>3</v>
      </c>
      <c r="B3" s="3">
        <v>34</v>
      </c>
      <c r="C3" s="3">
        <v>30</v>
      </c>
      <c r="D3" s="3">
        <v>26</v>
      </c>
      <c r="E3" s="3">
        <v>50</v>
      </c>
    </row>
    <row r="4" spans="1:5" x14ac:dyDescent="0.2">
      <c r="A4" s="3" t="s">
        <v>4</v>
      </c>
      <c r="B4" s="3">
        <v>68</v>
      </c>
      <c r="C4" s="3">
        <v>98</v>
      </c>
      <c r="D4" s="3">
        <v>126</v>
      </c>
      <c r="E4" s="3">
        <v>67</v>
      </c>
    </row>
    <row r="5" spans="1:5" x14ac:dyDescent="0.2">
      <c r="A5" s="3" t="s">
        <v>5</v>
      </c>
      <c r="B5" s="3">
        <v>146</v>
      </c>
      <c r="C5" s="3">
        <v>145</v>
      </c>
      <c r="D5" s="3">
        <v>200</v>
      </c>
      <c r="E5" s="3">
        <v>96</v>
      </c>
    </row>
    <row r="6" spans="1:5" x14ac:dyDescent="0.2">
      <c r="A6" s="3" t="s">
        <v>6</v>
      </c>
      <c r="B6" s="3">
        <v>186</v>
      </c>
      <c r="C6" s="3"/>
      <c r="D6" s="3"/>
      <c r="E6" s="3"/>
    </row>
    <row r="7" spans="1:5" x14ac:dyDescent="0.2">
      <c r="A7" s="3" t="s">
        <v>7</v>
      </c>
      <c r="B7" s="3">
        <v>999.99</v>
      </c>
      <c r="C7" s="3">
        <v>999.99</v>
      </c>
      <c r="D7" s="3">
        <v>999.99</v>
      </c>
      <c r="E7" s="3">
        <v>999.99</v>
      </c>
    </row>
    <row r="8" spans="1:5" x14ac:dyDescent="0.2">
      <c r="A8" s="3" t="s">
        <v>8</v>
      </c>
      <c r="B8" s="3">
        <v>0.71</v>
      </c>
      <c r="C8" s="3">
        <v>0.94000000000000006</v>
      </c>
      <c r="D8" s="3">
        <v>0.9</v>
      </c>
      <c r="E8" s="3">
        <v>0.6</v>
      </c>
    </row>
    <row r="9" spans="1:5" x14ac:dyDescent="0.2">
      <c r="A9" s="3" t="s">
        <v>9</v>
      </c>
      <c r="B9" s="3">
        <v>3.06</v>
      </c>
      <c r="C9" s="3">
        <v>2.4900000000000002</v>
      </c>
      <c r="D9" s="3">
        <v>2.13</v>
      </c>
      <c r="E9" s="3">
        <v>2.13</v>
      </c>
    </row>
    <row r="10" spans="1:5" x14ac:dyDescent="0.2">
      <c r="A10" s="3" t="s">
        <v>10</v>
      </c>
      <c r="B10" s="3"/>
      <c r="C10" s="3"/>
      <c r="D10" s="3"/>
      <c r="E10" s="3">
        <v>4.3</v>
      </c>
    </row>
    <row r="11" spans="1:5" x14ac:dyDescent="0.2">
      <c r="A11" s="3" t="s">
        <v>11</v>
      </c>
      <c r="B11" s="3">
        <v>999.99</v>
      </c>
      <c r="C11" s="3">
        <v>999.99</v>
      </c>
      <c r="D11" s="3">
        <v>999.99</v>
      </c>
      <c r="E11" s="3">
        <v>999.99</v>
      </c>
    </row>
    <row r="12" spans="1:5" x14ac:dyDescent="0.2">
      <c r="A12" s="3" t="s">
        <v>12</v>
      </c>
      <c r="B12" s="3">
        <v>2.2000000000000002</v>
      </c>
      <c r="C12" s="3">
        <v>1.08</v>
      </c>
      <c r="D12" s="3">
        <v>-8.43</v>
      </c>
      <c r="E12" s="3">
        <v>1.3900000000000001</v>
      </c>
    </row>
    <row r="13" spans="1:5" x14ac:dyDescent="0.2">
      <c r="A13" s="3" t="s">
        <v>13</v>
      </c>
      <c r="B13" s="3">
        <v>3.6</v>
      </c>
      <c r="C13" s="3">
        <v>2.29</v>
      </c>
      <c r="D13" s="3">
        <v>-0.45</v>
      </c>
      <c r="E13" s="3">
        <v>2.7</v>
      </c>
    </row>
    <row r="14" spans="1:5" x14ac:dyDescent="0.2">
      <c r="A14" s="3" t="s">
        <v>14</v>
      </c>
      <c r="B14" s="3">
        <v>46.9</v>
      </c>
      <c r="C14" s="3">
        <v>3.9</v>
      </c>
      <c r="D14" s="3">
        <v>6.38</v>
      </c>
      <c r="E14" s="3">
        <v>12.870000000000001</v>
      </c>
    </row>
    <row r="15" spans="1:5" x14ac:dyDescent="0.2">
      <c r="A15" s="3" t="s">
        <v>15</v>
      </c>
      <c r="B15" s="3"/>
      <c r="C15" s="3">
        <v>17.38</v>
      </c>
      <c r="D15" s="3">
        <v>28.28</v>
      </c>
      <c r="E15" s="3"/>
    </row>
    <row r="16" spans="1:5" x14ac:dyDescent="0.2">
      <c r="A16" s="3" t="s">
        <v>16</v>
      </c>
      <c r="B16" s="3">
        <v>999.99</v>
      </c>
      <c r="C16" s="3">
        <v>999.99</v>
      </c>
      <c r="D16" s="3">
        <v>999.99</v>
      </c>
      <c r="E16" s="3">
        <v>999.99</v>
      </c>
    </row>
    <row r="17" spans="1:5" x14ac:dyDescent="0.2">
      <c r="A17" s="3" t="s">
        <v>17</v>
      </c>
      <c r="B17" s="3">
        <v>70</v>
      </c>
      <c r="C17" s="3">
        <v>16</v>
      </c>
      <c r="D17" s="3">
        <v>3</v>
      </c>
      <c r="E17" s="3">
        <v>16</v>
      </c>
    </row>
    <row r="18" spans="1:5" x14ac:dyDescent="0.2">
      <c r="A18" s="3" t="s">
        <v>18</v>
      </c>
      <c r="B18" s="3">
        <v>93</v>
      </c>
      <c r="C18" s="3">
        <v>64</v>
      </c>
      <c r="D18" s="3">
        <v>69</v>
      </c>
      <c r="E18" s="3">
        <v>52</v>
      </c>
    </row>
    <row r="19" spans="1:5" x14ac:dyDescent="0.2">
      <c r="A19" s="3" t="s">
        <v>19</v>
      </c>
      <c r="B19" s="3">
        <v>283</v>
      </c>
      <c r="C19" s="3">
        <v>151</v>
      </c>
      <c r="D19" s="3">
        <v>87</v>
      </c>
      <c r="E19" s="3">
        <v>112</v>
      </c>
    </row>
    <row r="20" spans="1:5" x14ac:dyDescent="0.2">
      <c r="A20" s="3" t="s">
        <v>20</v>
      </c>
      <c r="B20" s="3">
        <v>561</v>
      </c>
      <c r="C20" s="3">
        <v>188</v>
      </c>
      <c r="D20" s="3">
        <v>528</v>
      </c>
      <c r="E20" s="3"/>
    </row>
    <row r="21" spans="1:5" x14ac:dyDescent="0.2">
      <c r="A21" s="3" t="s">
        <v>21</v>
      </c>
      <c r="B21" s="3">
        <v>1.79</v>
      </c>
      <c r="C21" s="3">
        <v>1.1000000000000001</v>
      </c>
      <c r="D21" s="3">
        <v>1.95</v>
      </c>
      <c r="E21" s="3">
        <v>1.61</v>
      </c>
    </row>
    <row r="22" spans="1:5" x14ac:dyDescent="0.2">
      <c r="A22" s="3" t="s">
        <v>22</v>
      </c>
      <c r="B22" s="3">
        <v>1.95</v>
      </c>
      <c r="C22" s="3">
        <v>1.79</v>
      </c>
      <c r="D22" s="3">
        <v>2.64</v>
      </c>
      <c r="E22" s="3">
        <v>2.71</v>
      </c>
    </row>
    <row r="23" spans="1:5" x14ac:dyDescent="0.2">
      <c r="A23" s="3" t="s">
        <v>23</v>
      </c>
      <c r="B23" s="3">
        <v>3.5300000000000002</v>
      </c>
      <c r="C23" s="3">
        <v>3.64</v>
      </c>
      <c r="D23" s="3">
        <v>3.09</v>
      </c>
      <c r="E23" s="3">
        <v>3</v>
      </c>
    </row>
    <row r="24" spans="1:5" x14ac:dyDescent="0.2">
      <c r="A24" s="3" t="s">
        <v>24</v>
      </c>
      <c r="B24" s="3">
        <v>4.28</v>
      </c>
      <c r="C24" s="3">
        <v>3.7600000000000002</v>
      </c>
      <c r="D24" s="3">
        <v>3.64</v>
      </c>
      <c r="E24" s="3">
        <v>3.64</v>
      </c>
    </row>
    <row r="25" spans="1:5" x14ac:dyDescent="0.2">
      <c r="A25" s="3" t="s">
        <v>25</v>
      </c>
      <c r="B25" s="3"/>
      <c r="C25" s="3"/>
      <c r="D25" s="3"/>
      <c r="E25" s="3">
        <v>3.95</v>
      </c>
    </row>
    <row r="26" spans="1:5" x14ac:dyDescent="0.2">
      <c r="A26" s="3" t="s">
        <v>26</v>
      </c>
      <c r="B26" s="3">
        <v>999.99</v>
      </c>
      <c r="C26" s="3">
        <v>999.99</v>
      </c>
      <c r="D26" s="3">
        <v>999.99</v>
      </c>
      <c r="E26" s="3">
        <v>999.99</v>
      </c>
    </row>
    <row r="27" spans="1:5" x14ac:dyDescent="0.2">
      <c r="A27" s="3" t="s">
        <v>27</v>
      </c>
      <c r="B27" s="3">
        <v>3</v>
      </c>
      <c r="C27" s="3">
        <v>20</v>
      </c>
      <c r="D27" s="3">
        <v>1</v>
      </c>
      <c r="E27" s="3">
        <v>1</v>
      </c>
    </row>
    <row r="28" spans="1:5" x14ac:dyDescent="0.2">
      <c r="A28" s="3" t="s">
        <v>28</v>
      </c>
      <c r="B28" s="3">
        <v>35</v>
      </c>
      <c r="C28" s="3">
        <v>31</v>
      </c>
      <c r="D28" s="3">
        <v>3</v>
      </c>
      <c r="E28" s="3">
        <v>6</v>
      </c>
    </row>
    <row r="29" spans="1:5" x14ac:dyDescent="0.2">
      <c r="A29" s="3" t="s">
        <v>29</v>
      </c>
      <c r="B29" s="3">
        <v>45</v>
      </c>
      <c r="C29" s="3">
        <v>47</v>
      </c>
      <c r="D29" s="3">
        <v>23</v>
      </c>
      <c r="E29" s="3">
        <v>13</v>
      </c>
    </row>
    <row r="30" spans="1:5" x14ac:dyDescent="0.2">
      <c r="A30" s="3" t="s">
        <v>30</v>
      </c>
      <c r="B30" s="3">
        <v>260</v>
      </c>
      <c r="C30" s="3">
        <v>306</v>
      </c>
      <c r="D30" s="3">
        <v>37</v>
      </c>
      <c r="E30" s="3">
        <v>36</v>
      </c>
    </row>
    <row r="31" spans="1:5" x14ac:dyDescent="0.2">
      <c r="A31" s="3" t="s">
        <v>31</v>
      </c>
      <c r="B31" s="3">
        <v>999.99</v>
      </c>
      <c r="C31" s="3">
        <v>999.99</v>
      </c>
      <c r="D31" s="3">
        <v>999.99</v>
      </c>
      <c r="E31" s="3">
        <v>999.99</v>
      </c>
    </row>
    <row r="32" spans="1:5" x14ac:dyDescent="0.2">
      <c r="A32" s="3" t="s">
        <v>32</v>
      </c>
      <c r="B32" s="3">
        <v>-5.0999999999999996</v>
      </c>
      <c r="C32" s="3">
        <v>0.06</v>
      </c>
      <c r="D32" s="3">
        <v>-7.78</v>
      </c>
      <c r="E32" s="3">
        <v>-8.85</v>
      </c>
    </row>
    <row r="33" spans="1:5" x14ac:dyDescent="0.2">
      <c r="A33" s="3" t="s">
        <v>33</v>
      </c>
      <c r="B33" s="3">
        <v>3.3000000000000003</v>
      </c>
      <c r="C33" s="3">
        <v>3.19</v>
      </c>
      <c r="D33" s="3">
        <v>0</v>
      </c>
      <c r="E33" s="3">
        <v>-0.83000000000000007</v>
      </c>
    </row>
    <row r="34" spans="1:5" x14ac:dyDescent="0.2">
      <c r="A34" s="3" t="s">
        <v>34</v>
      </c>
      <c r="B34" s="3">
        <v>9.31</v>
      </c>
      <c r="C34" s="3">
        <v>8.6</v>
      </c>
      <c r="D34" s="3">
        <v>4.5</v>
      </c>
      <c r="E34" s="3">
        <v>1.3</v>
      </c>
    </row>
    <row r="35" spans="1:5" x14ac:dyDescent="0.2">
      <c r="A35" s="3" t="s">
        <v>35</v>
      </c>
      <c r="B35" s="3">
        <v>16.3</v>
      </c>
      <c r="C35" s="3"/>
      <c r="D35" s="3">
        <v>6.7</v>
      </c>
      <c r="E35" s="3">
        <v>4.8899999999999997</v>
      </c>
    </row>
    <row r="36" spans="1:5" x14ac:dyDescent="0.2">
      <c r="A36" s="3" t="s">
        <v>36</v>
      </c>
      <c r="B36" s="3">
        <v>999.99</v>
      </c>
      <c r="C36" s="3">
        <v>999.99</v>
      </c>
      <c r="D36" s="3">
        <v>999.99</v>
      </c>
      <c r="E36" s="3">
        <v>999.99</v>
      </c>
    </row>
    <row r="37" spans="1:5" x14ac:dyDescent="0.2">
      <c r="A37" s="3" t="s">
        <v>37</v>
      </c>
      <c r="B37" s="3">
        <v>0.78</v>
      </c>
      <c r="C37" s="3">
        <v>0.62</v>
      </c>
      <c r="D37" s="3">
        <v>0.76</v>
      </c>
      <c r="E37" s="3">
        <v>0.67</v>
      </c>
    </row>
    <row r="38" spans="1:5" x14ac:dyDescent="0.2">
      <c r="A38" s="3" t="s">
        <v>38</v>
      </c>
      <c r="B38" s="3">
        <v>0.96</v>
      </c>
      <c r="C38" s="3">
        <v>0.82000000000000006</v>
      </c>
      <c r="D38" s="3">
        <v>0.86</v>
      </c>
      <c r="E38" s="3">
        <v>0.75</v>
      </c>
    </row>
    <row r="39" spans="1:5" x14ac:dyDescent="0.2">
      <c r="A39" s="3" t="s">
        <v>39</v>
      </c>
      <c r="B39" s="3">
        <v>1.1000000000000001</v>
      </c>
      <c r="C39" s="3">
        <v>1.0900000000000001</v>
      </c>
      <c r="D39" s="3">
        <v>1.01</v>
      </c>
      <c r="E39" s="3">
        <v>0.87</v>
      </c>
    </row>
    <row r="40" spans="1:5" x14ac:dyDescent="0.2">
      <c r="A40" s="3" t="s">
        <v>40</v>
      </c>
      <c r="B40" s="3">
        <v>1.29</v>
      </c>
      <c r="C40" s="3">
        <v>1.76</v>
      </c>
      <c r="D40" s="3">
        <v>1.1299999999999999</v>
      </c>
      <c r="E40" s="3">
        <v>1.06</v>
      </c>
    </row>
    <row r="41" spans="1:5" x14ac:dyDescent="0.2">
      <c r="A41" s="3" t="s">
        <v>41</v>
      </c>
      <c r="B41" s="3"/>
      <c r="C41" s="3"/>
      <c r="D41" s="3"/>
      <c r="E41" s="3">
        <v>2.61</v>
      </c>
    </row>
    <row r="42" spans="1:5" x14ac:dyDescent="0.2">
      <c r="A42" s="3" t="s">
        <v>42</v>
      </c>
      <c r="B42" s="3">
        <v>999.99</v>
      </c>
      <c r="C42" s="3">
        <v>999.99</v>
      </c>
      <c r="D42" s="3">
        <v>999.99</v>
      </c>
      <c r="E42" s="3">
        <v>999.99</v>
      </c>
    </row>
    <row r="43" spans="1:5" x14ac:dyDescent="0.2">
      <c r="A43" s="3" t="s">
        <v>43</v>
      </c>
      <c r="B43" s="3">
        <v>4</v>
      </c>
      <c r="C43" s="3">
        <v>-2.9</v>
      </c>
      <c r="D43" s="3">
        <v>-22.900000000000002</v>
      </c>
      <c r="E43" s="3">
        <v>-6.2700000000000005</v>
      </c>
    </row>
    <row r="44" spans="1:5" x14ac:dyDescent="0.2">
      <c r="A44" s="3" t="s">
        <v>44</v>
      </c>
      <c r="B44" s="3">
        <v>5.7</v>
      </c>
      <c r="C44" s="3">
        <v>-0.51</v>
      </c>
      <c r="D44" s="3">
        <v>-7.51</v>
      </c>
      <c r="E44" s="3">
        <v>3.5</v>
      </c>
    </row>
    <row r="45" spans="1:5" x14ac:dyDescent="0.2">
      <c r="A45" s="3" t="s">
        <v>45</v>
      </c>
      <c r="B45" s="3">
        <v>18.3</v>
      </c>
      <c r="C45" s="3">
        <v>6.09</v>
      </c>
      <c r="D45" s="3">
        <v>4</v>
      </c>
      <c r="E45" s="3">
        <v>6.5</v>
      </c>
    </row>
    <row r="46" spans="1:5" x14ac:dyDescent="0.2">
      <c r="A46" s="3" t="s">
        <v>46</v>
      </c>
      <c r="B46" s="3">
        <v>612.07000000000005</v>
      </c>
      <c r="C46" s="3">
        <v>11.89</v>
      </c>
      <c r="D46" s="3">
        <v>13.96</v>
      </c>
      <c r="E46" s="3">
        <v>10.69</v>
      </c>
    </row>
    <row r="47" spans="1:5" x14ac:dyDescent="0.2">
      <c r="A47" s="3" t="s">
        <v>47</v>
      </c>
      <c r="B47" s="2"/>
      <c r="C47" s="3"/>
      <c r="D47" s="3"/>
      <c r="E47" s="3">
        <v>22.1</v>
      </c>
    </row>
    <row r="48" spans="1:5" x14ac:dyDescent="0.2">
      <c r="A48" s="3" t="s">
        <v>48</v>
      </c>
      <c r="B48" s="3">
        <v>999.99</v>
      </c>
      <c r="C48" s="3">
        <v>999.99</v>
      </c>
      <c r="D48" s="3">
        <v>999.99</v>
      </c>
      <c r="E48" s="3">
        <v>999.99</v>
      </c>
    </row>
    <row r="49" spans="1:5" x14ac:dyDescent="0.2">
      <c r="A49" s="3" t="s">
        <v>49</v>
      </c>
      <c r="B49" s="3">
        <v>5.94</v>
      </c>
      <c r="C49" s="3">
        <v>-14.040000000000001</v>
      </c>
      <c r="D49" s="3">
        <v>1.6300000000000001</v>
      </c>
      <c r="E49" s="3">
        <v>-2.09</v>
      </c>
    </row>
    <row r="50" spans="1:5" x14ac:dyDescent="0.2">
      <c r="A50" s="3" t="s">
        <v>50</v>
      </c>
      <c r="B50" s="3">
        <v>18.989999999999998</v>
      </c>
      <c r="C50" s="3">
        <v>12</v>
      </c>
      <c r="D50" s="3">
        <v>16.989999999999998</v>
      </c>
      <c r="E50" s="3">
        <v>8</v>
      </c>
    </row>
    <row r="51" spans="1:5" x14ac:dyDescent="0.2">
      <c r="A51" s="3" t="s">
        <v>51</v>
      </c>
      <c r="B51" s="3">
        <v>30</v>
      </c>
      <c r="C51" s="3">
        <v>26.98</v>
      </c>
      <c r="D51" s="3">
        <v>46</v>
      </c>
      <c r="E51" s="3">
        <v>31.95</v>
      </c>
    </row>
    <row r="52" spans="1:5" x14ac:dyDescent="0.2">
      <c r="A52" s="3" t="s">
        <v>52</v>
      </c>
      <c r="B52" s="3">
        <v>39</v>
      </c>
      <c r="C52" s="3">
        <v>44</v>
      </c>
      <c r="D52" s="3">
        <v>85</v>
      </c>
      <c r="E52" s="3">
        <v>35.770000000000003</v>
      </c>
    </row>
    <row r="53" spans="1:5" x14ac:dyDescent="0.2">
      <c r="A53" s="3" t="s">
        <v>53</v>
      </c>
      <c r="B53" s="3">
        <v>999.99</v>
      </c>
      <c r="C53" s="3">
        <v>999.99</v>
      </c>
      <c r="D53" s="3">
        <v>999.99</v>
      </c>
      <c r="E53" s="3">
        <v>999.99</v>
      </c>
    </row>
    <row r="54" spans="1:5" x14ac:dyDescent="0.2">
      <c r="A54" s="3" t="s">
        <v>54</v>
      </c>
      <c r="B54" s="3">
        <v>62.4</v>
      </c>
      <c r="C54" s="3">
        <v>89.4</v>
      </c>
      <c r="D54" s="3">
        <v>79.569999999999993</v>
      </c>
      <c r="E54" s="3">
        <v>86.7</v>
      </c>
    </row>
    <row r="55" spans="1:5" x14ac:dyDescent="0.2">
      <c r="A55" s="3" t="s">
        <v>55</v>
      </c>
      <c r="B55" s="3">
        <v>77.599999999999994</v>
      </c>
      <c r="C55" s="3">
        <v>95.78</v>
      </c>
      <c r="D55" s="3">
        <v>87.14</v>
      </c>
      <c r="E55" s="3">
        <v>90.87</v>
      </c>
    </row>
    <row r="56" spans="1:5" x14ac:dyDescent="0.2">
      <c r="A56" s="3" t="s">
        <v>56</v>
      </c>
      <c r="B56" s="3">
        <v>94.42</v>
      </c>
      <c r="C56" s="3">
        <v>100.10000000000001</v>
      </c>
      <c r="D56" s="3">
        <v>959.68000000000006</v>
      </c>
      <c r="E56" s="3">
        <v>102.29</v>
      </c>
    </row>
    <row r="57" spans="1:5" x14ac:dyDescent="0.2">
      <c r="A57" s="3" t="s">
        <v>57</v>
      </c>
      <c r="B57" s="3"/>
      <c r="C57" s="3">
        <v>118.02</v>
      </c>
      <c r="D57" s="2"/>
      <c r="E57" s="3">
        <v>105.79</v>
      </c>
    </row>
    <row r="58" spans="1:5" x14ac:dyDescent="0.2">
      <c r="A58" s="1" t="s">
        <v>166</v>
      </c>
      <c r="B58" s="1" t="s">
        <v>130</v>
      </c>
      <c r="C58" s="1" t="s">
        <v>130</v>
      </c>
      <c r="D58" s="1" t="s">
        <v>130</v>
      </c>
      <c r="E58" s="1" t="s">
        <v>130</v>
      </c>
    </row>
    <row r="59" spans="1:5" x14ac:dyDescent="0.2">
      <c r="A59" s="1" t="s">
        <v>167</v>
      </c>
      <c r="B59" s="1" t="s">
        <v>131</v>
      </c>
      <c r="C59" s="1" t="s">
        <v>131</v>
      </c>
      <c r="D59" s="1" t="s">
        <v>131</v>
      </c>
      <c r="E59" s="1" t="s">
        <v>131</v>
      </c>
    </row>
    <row r="60" spans="1:5" x14ac:dyDescent="0.2">
      <c r="A60" s="1" t="s">
        <v>168</v>
      </c>
      <c r="B60" s="1" t="s">
        <v>132</v>
      </c>
      <c r="C60" s="1" t="s">
        <v>132</v>
      </c>
      <c r="D60" s="1" t="s">
        <v>132</v>
      </c>
      <c r="E60" s="1" t="s">
        <v>132</v>
      </c>
    </row>
    <row r="61" spans="1:5" x14ac:dyDescent="0.2">
      <c r="A61" s="1" t="s">
        <v>177</v>
      </c>
      <c r="B61" s="1">
        <v>11</v>
      </c>
      <c r="C61" s="1">
        <v>11</v>
      </c>
      <c r="D61" s="1">
        <v>11</v>
      </c>
      <c r="E61" s="1">
        <v>11</v>
      </c>
    </row>
    <row r="62" spans="1:5" x14ac:dyDescent="0.2">
      <c r="A62" s="1" t="s">
        <v>178</v>
      </c>
      <c r="B62" s="1">
        <v>17</v>
      </c>
      <c r="C62" s="1">
        <v>17</v>
      </c>
      <c r="D62" s="1">
        <v>17</v>
      </c>
      <c r="E62" s="1">
        <v>17</v>
      </c>
    </row>
    <row r="63" spans="1:5" x14ac:dyDescent="0.2">
      <c r="A63" s="1" t="s">
        <v>179</v>
      </c>
      <c r="B63" s="1">
        <v>23</v>
      </c>
      <c r="C63" s="1">
        <v>23</v>
      </c>
      <c r="D63" s="1">
        <v>23</v>
      </c>
      <c r="E63" s="1">
        <v>23</v>
      </c>
    </row>
  </sheetData>
  <sheetProtection algorithmName="SHA-512" hashValue="B48awHjIiGtzt1AW3ZryQ/LnHbuBOzCgrEkOPSZMSPa0fW578E6PUYwEvKA11cnLiVJ4GxC9OuRIcldVV0g59A==" saltValue="l7Hsl8gcTm4gg8nSiRO0vA==" spinCount="100000" sheet="1" objects="1" scenarios="1"/>
  <pageMargins left="0.7" right="0.7" top="0.75" bottom="0.75" header="0.3" footer="0.3"/>
  <pageSetup paperSize="9" orientation="portrait" verticalDpi="598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E75"/>
  <sheetViews>
    <sheetView workbookViewId="0">
      <selection activeCell="E14" sqref="E14"/>
    </sheetView>
  </sheetViews>
  <sheetFormatPr defaultRowHeight="12.75" x14ac:dyDescent="0.2"/>
  <cols>
    <col min="1" max="1" width="20.42578125" style="1" bestFit="1" customWidth="1"/>
    <col min="2" max="16384" width="9.140625" style="1"/>
  </cols>
  <sheetData>
    <row r="1" spans="1:5" x14ac:dyDescent="0.2">
      <c r="A1" s="5" t="s">
        <v>1</v>
      </c>
      <c r="B1" s="5">
        <v>1</v>
      </c>
      <c r="C1" s="5">
        <v>2</v>
      </c>
      <c r="D1" s="5">
        <v>3</v>
      </c>
      <c r="E1" s="5">
        <v>4</v>
      </c>
    </row>
    <row r="2" spans="1:5" x14ac:dyDescent="0.2">
      <c r="A2" s="5" t="s">
        <v>58</v>
      </c>
      <c r="B2" s="5">
        <v>-0.50346279264060656</v>
      </c>
      <c r="C2" s="5">
        <v>-0.4366482866484841</v>
      </c>
      <c r="D2" s="5">
        <v>-0.41844583516915879</v>
      </c>
      <c r="E2" s="5">
        <v>-0.57092426610836011</v>
      </c>
    </row>
    <row r="3" spans="1:5" x14ac:dyDescent="0.2">
      <c r="A3" s="5" t="s">
        <v>59</v>
      </c>
      <c r="B3" s="5">
        <v>0.56393602036471002</v>
      </c>
      <c r="C3" s="5">
        <v>0.44197147739544396</v>
      </c>
      <c r="D3" s="5">
        <v>0.86352362398652194</v>
      </c>
      <c r="E3" s="5">
        <v>0.62147134237095358</v>
      </c>
    </row>
    <row r="4" spans="1:5" x14ac:dyDescent="0.2">
      <c r="A4" s="5" t="s">
        <v>60</v>
      </c>
      <c r="B4" s="5">
        <v>0.2941299281527634</v>
      </c>
      <c r="C4" s="5">
        <v>0.27293738689194996</v>
      </c>
      <c r="D4" s="5">
        <v>0.27352320833406002</v>
      </c>
      <c r="E4" s="5">
        <v>0.28956034320656171</v>
      </c>
    </row>
    <row r="5" spans="1:5" x14ac:dyDescent="0.2">
      <c r="A5" s="5" t="s">
        <v>61</v>
      </c>
      <c r="B5" s="5">
        <v>0.26526832336793671</v>
      </c>
      <c r="C5" s="5">
        <v>-0.20868952905712534</v>
      </c>
      <c r="D5" s="5">
        <v>0.102274176124958</v>
      </c>
      <c r="E5" s="5">
        <v>0.26004309134832548</v>
      </c>
    </row>
    <row r="6" spans="1:5" x14ac:dyDescent="0.2">
      <c r="A6" s="5" t="s">
        <v>62</v>
      </c>
      <c r="B6" s="5">
        <v>-1.8929161056749182E-2</v>
      </c>
      <c r="C6" s="5">
        <v>-0.62540860454558966</v>
      </c>
      <c r="D6" s="5">
        <v>-0.57145491857788577</v>
      </c>
      <c r="E6" s="5">
        <v>-0.32143489373750056</v>
      </c>
    </row>
    <row r="7" spans="1:5" x14ac:dyDescent="0.2">
      <c r="A7" s="5" t="s">
        <v>63</v>
      </c>
      <c r="B7" s="5">
        <v>-0.45931267159642863</v>
      </c>
      <c r="C7" s="4"/>
      <c r="D7" s="4"/>
      <c r="E7" s="4"/>
    </row>
    <row r="8" spans="1:5" x14ac:dyDescent="0.2">
      <c r="A8" s="5" t="s">
        <v>64</v>
      </c>
      <c r="B8" s="5">
        <v>0.2786453400450048</v>
      </c>
      <c r="C8" s="5">
        <v>0.51543403941586152</v>
      </c>
      <c r="D8" s="5">
        <v>0.31012387843561984</v>
      </c>
      <c r="E8" s="5">
        <v>0.60614882537858905</v>
      </c>
    </row>
    <row r="9" spans="1:5" x14ac:dyDescent="0.2">
      <c r="A9" s="5" t="s">
        <v>65</v>
      </c>
      <c r="B9" s="5">
        <v>0.22442645425635205</v>
      </c>
      <c r="C9" s="5">
        <v>0.29877719109345563</v>
      </c>
      <c r="D9" s="5">
        <v>-6.343449932522071E-3</v>
      </c>
      <c r="E9" s="5">
        <v>0.10464341501647348</v>
      </c>
    </row>
    <row r="10" spans="1:5" x14ac:dyDescent="0.2">
      <c r="A10" s="5" t="s">
        <v>66</v>
      </c>
      <c r="B10" s="5">
        <v>-0.14463826198555335</v>
      </c>
      <c r="C10" s="5">
        <v>-0.31810695440458342</v>
      </c>
      <c r="D10" s="5">
        <v>-0.10407256025598641</v>
      </c>
      <c r="E10" s="5">
        <v>-0.30231690446302939</v>
      </c>
    </row>
    <row r="11" spans="1:5" x14ac:dyDescent="0.2">
      <c r="A11" s="5" t="s">
        <v>67</v>
      </c>
      <c r="B11" s="5">
        <v>-0.68147178128770114</v>
      </c>
      <c r="C11" s="5">
        <v>-0.96986479569392303</v>
      </c>
      <c r="D11" s="5">
        <v>-0.55383439705363124</v>
      </c>
      <c r="E11" s="5">
        <v>-0.7600639377856836</v>
      </c>
    </row>
    <row r="12" spans="1:5" x14ac:dyDescent="0.2">
      <c r="A12" s="5" t="s">
        <v>68</v>
      </c>
      <c r="B12" s="4"/>
      <c r="C12" s="4"/>
      <c r="D12" s="4"/>
      <c r="E12" s="5">
        <v>-0.91817894391485133</v>
      </c>
    </row>
    <row r="13" spans="1:5" x14ac:dyDescent="0.2">
      <c r="A13" s="5" t="s">
        <v>69</v>
      </c>
      <c r="B13" s="5">
        <v>-0.29812186375662181</v>
      </c>
      <c r="C13" s="5">
        <v>-0.28701636733455216</v>
      </c>
      <c r="D13" s="5">
        <v>-0.26385469308123527</v>
      </c>
      <c r="E13" s="5">
        <v>-0.5113187844165753</v>
      </c>
    </row>
    <row r="14" spans="1:5" x14ac:dyDescent="0.2">
      <c r="A14" s="5" t="s">
        <v>70</v>
      </c>
      <c r="B14" s="5">
        <v>-0.31745605136546967</v>
      </c>
      <c r="C14" s="5">
        <v>-0.65814006192830687</v>
      </c>
      <c r="D14" s="5">
        <v>-0.56706651171496136</v>
      </c>
      <c r="E14" s="5">
        <v>-0.43224853518823658</v>
      </c>
    </row>
    <row r="15" spans="1:5" x14ac:dyDescent="0.2">
      <c r="A15" s="5" t="s">
        <v>71</v>
      </c>
      <c r="B15" s="5">
        <v>-3.7025642309009045E-2</v>
      </c>
      <c r="C15" s="5">
        <v>-0.13760924813635181</v>
      </c>
      <c r="D15" s="5">
        <v>-0.31697582415377212</v>
      </c>
      <c r="E15" s="5">
        <v>9.7775871379085291E-2</v>
      </c>
    </row>
    <row r="16" spans="1:5" x14ac:dyDescent="0.2">
      <c r="A16" s="5" t="s">
        <v>72</v>
      </c>
      <c r="B16" s="5">
        <v>0.71874775174386796</v>
      </c>
      <c r="C16" s="5">
        <v>0.29786177008197112</v>
      </c>
      <c r="D16" s="5">
        <v>3.6447749268805903E-2</v>
      </c>
      <c r="E16" s="5">
        <v>0.84911959723575903</v>
      </c>
    </row>
    <row r="17" spans="1:5" x14ac:dyDescent="0.2">
      <c r="A17" s="5" t="s">
        <v>73</v>
      </c>
      <c r="B17" s="5">
        <v>1.8922148331218669</v>
      </c>
      <c r="C17" s="5">
        <v>1.1900725351135149</v>
      </c>
      <c r="D17" s="5">
        <v>0.83214850141876795</v>
      </c>
      <c r="E17" s="5">
        <v>1.747579298323366</v>
      </c>
    </row>
    <row r="18" spans="1:5" x14ac:dyDescent="0.2">
      <c r="A18" s="5" t="s">
        <v>74</v>
      </c>
      <c r="B18" s="4"/>
      <c r="C18" s="5">
        <v>1.5984874978681003</v>
      </c>
      <c r="D18" s="5">
        <v>1.0550264132042539</v>
      </c>
      <c r="E18" s="4"/>
    </row>
    <row r="19" spans="1:5" x14ac:dyDescent="0.2">
      <c r="A19" s="5" t="s">
        <v>75</v>
      </c>
      <c r="B19" s="5">
        <v>0.22544512410224335</v>
      </c>
      <c r="C19" s="5">
        <v>-0.34433464049863649</v>
      </c>
      <c r="D19" s="5">
        <v>7.2307707547877006E-2</v>
      </c>
      <c r="E19" s="5">
        <v>0.37121509594062713</v>
      </c>
    </row>
    <row r="20" spans="1:5" x14ac:dyDescent="0.2">
      <c r="A20" s="5" t="s">
        <v>76</v>
      </c>
      <c r="B20" s="5">
        <v>0.10093098815961517</v>
      </c>
      <c r="C20" s="5">
        <v>0.76144613764808577</v>
      </c>
      <c r="D20" s="5">
        <v>0.76470378903789449</v>
      </c>
      <c r="E20" s="5">
        <v>0.57992233945808114</v>
      </c>
    </row>
    <row r="21" spans="1:5" x14ac:dyDescent="0.2">
      <c r="A21" s="5" t="s">
        <v>77</v>
      </c>
      <c r="B21" s="5">
        <v>-4.8002700940159876E-2</v>
      </c>
      <c r="C21" s="5">
        <v>0.4331392315599692</v>
      </c>
      <c r="D21" s="5">
        <v>8.3365066436946772E-2</v>
      </c>
      <c r="E21" s="5">
        <v>0.26104116657197846</v>
      </c>
    </row>
    <row r="22" spans="1:5" x14ac:dyDescent="0.2">
      <c r="A22" s="5" t="s">
        <v>78</v>
      </c>
      <c r="B22" s="5">
        <v>-0.41188256867134559</v>
      </c>
      <c r="C22" s="5">
        <v>0.17208838051392561</v>
      </c>
      <c r="D22" s="5">
        <v>-0.24717340389665982</v>
      </c>
      <c r="E22" s="5">
        <v>-0.25835135243093305</v>
      </c>
    </row>
    <row r="23" spans="1:5" x14ac:dyDescent="0.2">
      <c r="A23" s="5" t="s">
        <v>79</v>
      </c>
      <c r="B23" s="5">
        <v>-0.75784476007227519</v>
      </c>
      <c r="C23" s="5">
        <v>-0.13330944167477113</v>
      </c>
      <c r="D23" s="5">
        <v>-0.55248720946184571</v>
      </c>
      <c r="E23" s="5">
        <v>-0.75324938232419336</v>
      </c>
    </row>
    <row r="24" spans="1:5" x14ac:dyDescent="0.2">
      <c r="A24" s="5" t="s">
        <v>80</v>
      </c>
      <c r="B24" s="5">
        <v>-0.88578016719267672</v>
      </c>
      <c r="C24" s="5">
        <v>-0.97222859939476491</v>
      </c>
      <c r="D24" s="5">
        <v>-0.96182678967756852</v>
      </c>
      <c r="E24" s="4"/>
    </row>
    <row r="25" spans="1:5" x14ac:dyDescent="0.2">
      <c r="A25" s="5" t="s">
        <v>81</v>
      </c>
      <c r="B25" s="5">
        <v>-0.39456627386912208</v>
      </c>
      <c r="C25" s="5">
        <v>-0.64423370422561199</v>
      </c>
      <c r="D25" s="5">
        <v>-0.26993152813341531</v>
      </c>
      <c r="E25" s="5">
        <v>-0.43567515190488415</v>
      </c>
    </row>
    <row r="26" spans="1:5" x14ac:dyDescent="0.2">
      <c r="A26" s="5" t="s">
        <v>82</v>
      </c>
      <c r="B26" s="5">
        <v>-0.14676253256663405</v>
      </c>
      <c r="C26" s="5">
        <v>-0.18945012340354495</v>
      </c>
      <c r="D26" s="5">
        <v>-0.10687736970134952</v>
      </c>
      <c r="E26" s="5">
        <v>-0.23521250804027943</v>
      </c>
    </row>
    <row r="27" spans="1:5" x14ac:dyDescent="0.2">
      <c r="A27" s="5" t="s">
        <v>83</v>
      </c>
      <c r="B27" s="5">
        <v>3.0289911547308687E-2</v>
      </c>
      <c r="C27" s="5">
        <v>-4.2039332118663578E-2</v>
      </c>
      <c r="D27" s="5">
        <v>0.23479044284865166</v>
      </c>
      <c r="E27" s="5">
        <v>2.0306551522658471E-2</v>
      </c>
    </row>
    <row r="28" spans="1:5" x14ac:dyDescent="0.2">
      <c r="A28" s="5" t="s">
        <v>84</v>
      </c>
      <c r="B28" s="5">
        <v>0.31593060544889523</v>
      </c>
      <c r="C28" s="5">
        <v>4.2108624835949508E-2</v>
      </c>
      <c r="D28" s="5">
        <v>0.26632235010363431</v>
      </c>
      <c r="E28" s="5">
        <v>0.23914142952176135</v>
      </c>
    </row>
    <row r="29" spans="1:5" x14ac:dyDescent="0.2">
      <c r="A29" s="5" t="s">
        <v>85</v>
      </c>
      <c r="B29" s="5">
        <v>0.74386045255894317</v>
      </c>
      <c r="C29" s="5">
        <v>0.37217571545990213</v>
      </c>
      <c r="D29" s="5">
        <v>0.4385613641786022</v>
      </c>
      <c r="E29" s="5">
        <v>0.4223123463133891</v>
      </c>
    </row>
    <row r="30" spans="1:5" x14ac:dyDescent="0.2">
      <c r="A30" s="5" t="s">
        <v>86</v>
      </c>
      <c r="B30" s="4"/>
      <c r="C30" s="4"/>
      <c r="D30" s="4"/>
      <c r="E30" s="5">
        <v>0.62385371395636047</v>
      </c>
    </row>
    <row r="31" spans="1:5" x14ac:dyDescent="0.2">
      <c r="A31" s="5" t="s">
        <v>87</v>
      </c>
      <c r="B31" s="5">
        <v>-0.67495710026650768</v>
      </c>
      <c r="C31" s="5">
        <v>-0.69399455156920087</v>
      </c>
      <c r="D31" s="5">
        <v>-0.56182721789499601</v>
      </c>
      <c r="E31" s="5">
        <v>-0.79295738803989035</v>
      </c>
    </row>
    <row r="32" spans="1:5" x14ac:dyDescent="0.2">
      <c r="A32" s="5" t="s">
        <v>88</v>
      </c>
      <c r="B32" s="5">
        <v>-0.4497660597128485</v>
      </c>
      <c r="C32" s="5">
        <v>-0.50313922700481151</v>
      </c>
      <c r="D32" s="5">
        <v>-0.6224359081534041</v>
      </c>
      <c r="E32" s="5">
        <v>-0.6295043155503186</v>
      </c>
    </row>
    <row r="33" spans="1:5" x14ac:dyDescent="0.2">
      <c r="A33" s="5" t="s">
        <v>89</v>
      </c>
      <c r="B33" s="5">
        <v>4.6425020811198578E-2</v>
      </c>
      <c r="C33" s="5">
        <v>-0.23446222219076074</v>
      </c>
      <c r="D33" s="5">
        <v>-0.1200042697778235</v>
      </c>
      <c r="E33" s="5">
        <v>-0.38552667733326695</v>
      </c>
    </row>
    <row r="34" spans="1:5" x14ac:dyDescent="0.2">
      <c r="A34" s="5" t="s">
        <v>90</v>
      </c>
      <c r="B34" s="5">
        <v>0.18384458460218073</v>
      </c>
      <c r="C34" s="5">
        <v>0.33357443176308993</v>
      </c>
      <c r="D34" s="5">
        <v>0.16590746795562475</v>
      </c>
      <c r="E34" s="5">
        <v>-0.16428642526246032</v>
      </c>
    </row>
    <row r="35" spans="1:5" x14ac:dyDescent="0.2">
      <c r="A35" s="5" t="s">
        <v>91</v>
      </c>
      <c r="B35" s="5">
        <v>0.38145483391122564</v>
      </c>
      <c r="C35" s="5">
        <v>0.73769695743642238</v>
      </c>
      <c r="D35" s="5">
        <v>0.66850924039414827</v>
      </c>
      <c r="E35" s="5">
        <v>-2.79786896368035E-2</v>
      </c>
    </row>
    <row r="36" spans="1:5" x14ac:dyDescent="0.2">
      <c r="A36" s="5" t="s">
        <v>92</v>
      </c>
      <c r="B36" s="5">
        <v>1.2181050760619332</v>
      </c>
      <c r="C36" s="5">
        <v>1.2787811415995933</v>
      </c>
      <c r="D36" s="5">
        <v>1.0884673558048794</v>
      </c>
      <c r="E36" s="5">
        <v>1.2148410151182334</v>
      </c>
    </row>
    <row r="37" spans="1:5" x14ac:dyDescent="0.2">
      <c r="A37" s="5" t="s">
        <v>93</v>
      </c>
      <c r="B37" s="5">
        <v>0</v>
      </c>
      <c r="C37" s="5">
        <v>0</v>
      </c>
      <c r="D37" s="5">
        <v>0</v>
      </c>
      <c r="E37" s="5">
        <v>0</v>
      </c>
    </row>
    <row r="38" spans="1:5" x14ac:dyDescent="0.2">
      <c r="A38" s="5" t="s">
        <v>94</v>
      </c>
      <c r="B38" s="5">
        <v>-0.4962106719394716</v>
      </c>
      <c r="C38" s="5">
        <v>-0.81257210166363458</v>
      </c>
      <c r="D38" s="5">
        <v>-0.55214697345850183</v>
      </c>
      <c r="E38" s="5">
        <v>-0.73003643933579521</v>
      </c>
    </row>
    <row r="39" spans="1:5" x14ac:dyDescent="0.2">
      <c r="A39" s="5" t="s">
        <v>95</v>
      </c>
      <c r="B39" s="5">
        <v>-0.25597912631803604</v>
      </c>
      <c r="C39" s="5">
        <v>0.19705707096000552</v>
      </c>
      <c r="D39" s="5">
        <v>-0.44196424353142555</v>
      </c>
      <c r="E39" s="5">
        <v>-0.55247093906749167</v>
      </c>
    </row>
    <row r="40" spans="1:5" x14ac:dyDescent="0.2">
      <c r="A40" s="5" t="s">
        <v>96</v>
      </c>
      <c r="B40" s="5">
        <v>0.26560215745549703</v>
      </c>
      <c r="C40" s="5">
        <v>0.3583899994809443</v>
      </c>
      <c r="D40" s="5">
        <v>0.18186026278599446</v>
      </c>
      <c r="E40" s="5">
        <v>-0.29870288952959895</v>
      </c>
    </row>
    <row r="41" spans="1:5" x14ac:dyDescent="0.2">
      <c r="A41" s="5" t="s">
        <v>97</v>
      </c>
      <c r="B41" s="5">
        <v>0.59370179400122225</v>
      </c>
      <c r="C41" s="5">
        <v>1.4727940228548775</v>
      </c>
      <c r="D41" s="5">
        <v>0.32838069256982488</v>
      </c>
      <c r="E41" s="5">
        <v>0.1767855211095079</v>
      </c>
    </row>
    <row r="42" spans="1:5" x14ac:dyDescent="0.2">
      <c r="A42" s="5" t="s">
        <v>98</v>
      </c>
      <c r="B42" s="5">
        <v>1.1563011744035327</v>
      </c>
      <c r="C42" s="4"/>
      <c r="D42" s="5">
        <v>0.44559376525837047</v>
      </c>
      <c r="E42" s="5">
        <v>0.59065620233751159</v>
      </c>
    </row>
    <row r="43" spans="1:5" x14ac:dyDescent="0.2">
      <c r="A43" s="5" t="s">
        <v>99</v>
      </c>
      <c r="B43" s="5">
        <v>-0.58039851764149486</v>
      </c>
      <c r="C43" s="5">
        <v>-0.86861106198875015</v>
      </c>
      <c r="D43" s="5">
        <v>0.32838069256982472</v>
      </c>
      <c r="E43" s="5">
        <v>-1.009261066948276</v>
      </c>
    </row>
    <row r="44" spans="1:5" x14ac:dyDescent="0.2">
      <c r="A44" s="5" t="s">
        <v>100</v>
      </c>
      <c r="B44" s="5">
        <v>-0.52485602215136018</v>
      </c>
      <c r="C44" s="5">
        <v>-0.69348561523513097</v>
      </c>
      <c r="D44" s="5">
        <v>-0.54615824462410867</v>
      </c>
      <c r="E44" s="5">
        <v>-0.80311393174225176</v>
      </c>
    </row>
    <row r="45" spans="1:5" x14ac:dyDescent="0.2">
      <c r="A45" s="5" t="s">
        <v>101</v>
      </c>
      <c r="B45" s="5">
        <v>-0.26742800793749177</v>
      </c>
      <c r="C45" s="5">
        <v>-0.16205114921543035</v>
      </c>
      <c r="D45" s="5">
        <v>-0.4072517833571932</v>
      </c>
      <c r="E45" s="5">
        <v>-0.43810946255068917</v>
      </c>
    </row>
    <row r="46" spans="1:5" x14ac:dyDescent="0.2">
      <c r="A46" s="5" t="s">
        <v>102</v>
      </c>
      <c r="B46" s="5">
        <v>-1.3505300327653307E-2</v>
      </c>
      <c r="C46" s="5">
        <v>-8.3589230088552801E-3</v>
      </c>
      <c r="D46" s="5">
        <v>-0.24470684349614497</v>
      </c>
      <c r="E46" s="5">
        <v>-0.13569769695392273</v>
      </c>
    </row>
    <row r="47" spans="1:5" x14ac:dyDescent="0.2">
      <c r="A47" s="5" t="s">
        <v>103</v>
      </c>
      <c r="B47" s="5">
        <v>0.45083077378056691</v>
      </c>
      <c r="C47" s="5">
        <v>0.43245286651250531</v>
      </c>
      <c r="D47" s="5">
        <v>0.20054732105994005</v>
      </c>
      <c r="E47" s="5">
        <v>1.6413981407147209E-2</v>
      </c>
    </row>
    <row r="48" spans="1:5" x14ac:dyDescent="0.2">
      <c r="A48" s="5" t="s">
        <v>104</v>
      </c>
      <c r="B48" s="5">
        <v>0.85495450006452989</v>
      </c>
      <c r="C48" s="5">
        <v>1.4311923880434185</v>
      </c>
      <c r="D48" s="5">
        <v>0.37787203708819062</v>
      </c>
      <c r="E48" s="5">
        <v>0.76791058061439987</v>
      </c>
    </row>
    <row r="49" spans="1:5" x14ac:dyDescent="0.2">
      <c r="A49" s="5" t="s">
        <v>105</v>
      </c>
      <c r="B49" s="4"/>
      <c r="C49" s="4"/>
      <c r="D49" s="4"/>
      <c r="E49" s="5">
        <v>2.2219244683972388</v>
      </c>
    </row>
    <row r="50" spans="1:5" x14ac:dyDescent="0.2">
      <c r="A50" s="5" t="s">
        <v>106</v>
      </c>
      <c r="B50" s="5">
        <v>-8.3504070120810403E-2</v>
      </c>
      <c r="C50" s="5">
        <v>-0.44116704716181054</v>
      </c>
      <c r="D50" s="5">
        <v>-0.63549900212812815</v>
      </c>
      <c r="E50" s="5">
        <v>-0.4564017103071934</v>
      </c>
    </row>
    <row r="51" spans="1:5" x14ac:dyDescent="0.2">
      <c r="A51" s="5" t="s">
        <v>107</v>
      </c>
      <c r="B51" s="5">
        <v>-0.42340315102637255</v>
      </c>
      <c r="C51" s="5">
        <v>-0.80921268189555962</v>
      </c>
      <c r="D51" s="5">
        <v>-0.74400511017777682</v>
      </c>
      <c r="E51" s="5">
        <v>-0.82440465455113343</v>
      </c>
    </row>
    <row r="52" spans="1:5" x14ac:dyDescent="0.2">
      <c r="A52" s="5" t="s">
        <v>108</v>
      </c>
      <c r="B52" s="5">
        <v>-7.0325056378058151E-2</v>
      </c>
      <c r="C52" s="5">
        <v>-0.4015880608811524</v>
      </c>
      <c r="D52" s="5">
        <v>-0.53654552238193953</v>
      </c>
      <c r="E52" s="5">
        <v>-0.4168320641034044</v>
      </c>
    </row>
    <row r="53" spans="1:5" x14ac:dyDescent="0.2">
      <c r="A53" s="5" t="s">
        <v>109</v>
      </c>
      <c r="B53" s="5">
        <v>0.46382903903768485</v>
      </c>
      <c r="C53" s="5">
        <v>-8.1865821401893787E-2</v>
      </c>
      <c r="D53" s="5">
        <v>5.5966092248832311E-2</v>
      </c>
      <c r="E53" s="5">
        <v>0.13048696489308195</v>
      </c>
    </row>
    <row r="54" spans="1:5" x14ac:dyDescent="0.2">
      <c r="A54" s="5" t="s">
        <v>110</v>
      </c>
      <c r="B54" s="5">
        <v>1.0461848017475943</v>
      </c>
      <c r="C54" s="5">
        <v>0.31034913807875053</v>
      </c>
      <c r="D54" s="5">
        <v>0.19974010993041014</v>
      </c>
      <c r="E54" s="5">
        <v>0.58953301823701332</v>
      </c>
    </row>
    <row r="55" spans="1:5" x14ac:dyDescent="0.2">
      <c r="A55" s="5" t="s">
        <v>111</v>
      </c>
      <c r="B55" s="4"/>
      <c r="C55" s="5">
        <v>1.5672739153523632</v>
      </c>
      <c r="D55" s="5">
        <v>1.0630768760426426</v>
      </c>
      <c r="E55" s="5">
        <v>1.0366289405603273</v>
      </c>
    </row>
    <row r="56" spans="1:5" x14ac:dyDescent="0.2">
      <c r="A56" s="5" t="s">
        <v>112</v>
      </c>
      <c r="B56" s="4"/>
      <c r="C56" s="4"/>
      <c r="D56" s="4"/>
      <c r="E56" s="5">
        <v>1.1500279271081761</v>
      </c>
    </row>
    <row r="57" spans="1:5" x14ac:dyDescent="0.2">
      <c r="A57" s="5" t="s">
        <v>113</v>
      </c>
      <c r="B57" s="5">
        <v>-0.27779079497303821</v>
      </c>
      <c r="C57" s="5">
        <v>-0.40034505264155551</v>
      </c>
      <c r="D57" s="5">
        <v>0.25387816527190371</v>
      </c>
      <c r="E57" s="5">
        <v>-1.2818295015900087</v>
      </c>
    </row>
    <row r="58" spans="1:5" x14ac:dyDescent="0.2">
      <c r="A58" s="5" t="s">
        <v>114</v>
      </c>
      <c r="B58" s="5">
        <v>-0.6251921021264415</v>
      </c>
      <c r="C58" s="5">
        <v>-1.004412603147812</v>
      </c>
      <c r="D58" s="5">
        <v>-0.57555466977561187</v>
      </c>
      <c r="E58" s="5">
        <v>-0.73583996536635121</v>
      </c>
    </row>
    <row r="59" spans="1:5" x14ac:dyDescent="0.2">
      <c r="A59" s="5" t="s">
        <v>115</v>
      </c>
      <c r="B59" s="5">
        <v>-0.25147348665566477</v>
      </c>
      <c r="C59" s="5">
        <v>-0.83783940332199658</v>
      </c>
      <c r="D59" s="5">
        <v>-0.36169428895315042</v>
      </c>
      <c r="E59" s="5">
        <v>-0.59992171766575531</v>
      </c>
    </row>
    <row r="60" spans="1:5" x14ac:dyDescent="0.2">
      <c r="A60" s="5" t="s">
        <v>116</v>
      </c>
      <c r="B60" s="5">
        <v>0.15162755415761903</v>
      </c>
      <c r="C60" s="5">
        <v>-7.6658897299745482E-2</v>
      </c>
      <c r="D60" s="5">
        <v>0.26164770905031071</v>
      </c>
      <c r="E60" s="5">
        <v>-0.15830489254200261</v>
      </c>
    </row>
    <row r="61" spans="1:5" x14ac:dyDescent="0.2">
      <c r="A61" s="5" t="s">
        <v>117</v>
      </c>
      <c r="B61" s="5">
        <v>0.72263681610731656</v>
      </c>
      <c r="C61" s="5">
        <v>0.32233871312168666</v>
      </c>
      <c r="D61" s="5">
        <v>0.44285341186500765</v>
      </c>
      <c r="E61" s="5">
        <v>0.18604484652230463</v>
      </c>
    </row>
    <row r="62" spans="1:5" x14ac:dyDescent="0.2">
      <c r="A62" s="5" t="s">
        <v>118</v>
      </c>
      <c r="B62" s="5">
        <v>1.1327895920270079</v>
      </c>
      <c r="C62" s="5">
        <v>1.1083913613179806</v>
      </c>
      <c r="D62" s="5">
        <v>0.72180782211851024</v>
      </c>
      <c r="E62" s="5">
        <v>1.2070088030433157</v>
      </c>
    </row>
    <row r="63" spans="1:5" x14ac:dyDescent="0.2">
      <c r="A63" s="5" t="s">
        <v>119</v>
      </c>
      <c r="B63" s="5">
        <v>5.7490256278021672E-2</v>
      </c>
      <c r="C63" s="5">
        <v>-0.40034505264155551</v>
      </c>
      <c r="D63" s="5">
        <v>-0.51968715393382503</v>
      </c>
      <c r="E63" s="5">
        <v>-0.1994263047079487</v>
      </c>
    </row>
    <row r="64" spans="1:5" x14ac:dyDescent="0.2">
      <c r="A64" s="5" t="s">
        <v>120</v>
      </c>
      <c r="B64" s="5">
        <v>-0.41849067707617338</v>
      </c>
      <c r="C64" s="5">
        <v>-0.43413952073840134</v>
      </c>
      <c r="D64" s="5">
        <v>0.28004568632138704</v>
      </c>
      <c r="E64" s="5">
        <v>-0.41940847962858419</v>
      </c>
    </row>
    <row r="65" spans="1:5" x14ac:dyDescent="0.2">
      <c r="A65" s="5" t="s">
        <v>121</v>
      </c>
      <c r="B65" s="5">
        <v>-0.12841339389843764</v>
      </c>
      <c r="C65" s="5">
        <v>-0.36292683772317835</v>
      </c>
      <c r="D65" s="5">
        <v>2.5822165079797326E-2</v>
      </c>
      <c r="E65" s="5">
        <v>-0.24935701542644406</v>
      </c>
    </row>
    <row r="66" spans="1:5" x14ac:dyDescent="0.2">
      <c r="A66" s="5" t="s">
        <v>122</v>
      </c>
      <c r="B66" s="5">
        <v>-8.24087084467281E-3</v>
      </c>
      <c r="C66" s="5">
        <v>0.2682803081955023</v>
      </c>
      <c r="D66" s="5">
        <v>0.24558960406494174</v>
      </c>
      <c r="E66" s="5">
        <v>-0.15239285472152403</v>
      </c>
    </row>
    <row r="67" spans="1:5" x14ac:dyDescent="0.2">
      <c r="A67" s="5" t="s">
        <v>123</v>
      </c>
      <c r="B67" s="5">
        <v>3.0775570645663435E-2</v>
      </c>
      <c r="C67" s="5">
        <v>0.37378085224113067</v>
      </c>
      <c r="D67" s="4"/>
      <c r="E67" s="5">
        <v>0.12706469144712276</v>
      </c>
    </row>
    <row r="68" spans="1:5" x14ac:dyDescent="0.2">
      <c r="A68" s="5" t="s">
        <v>124</v>
      </c>
      <c r="B68" s="4"/>
      <c r="C68" s="5">
        <v>0.50689296911279003</v>
      </c>
      <c r="D68" s="4"/>
      <c r="E68" s="5">
        <v>0.43813815170215464</v>
      </c>
    </row>
    <row r="69" spans="1:5" ht="15" x14ac:dyDescent="0.25">
      <c r="A69" s="1" t="s">
        <v>170</v>
      </c>
      <c r="B69" s="20">
        <v>0.65362886106834017</v>
      </c>
      <c r="C69" s="20">
        <v>0.65362886106834017</v>
      </c>
      <c r="D69" s="20">
        <v>0.65362886106834017</v>
      </c>
      <c r="E69" s="20">
        <v>0.65362886106834017</v>
      </c>
    </row>
    <row r="70" spans="1:5" ht="15" x14ac:dyDescent="0.25">
      <c r="A70" s="1" t="s">
        <v>171</v>
      </c>
      <c r="B70" s="20">
        <v>-0.85438660577542691</v>
      </c>
      <c r="C70" s="20">
        <v>-0.85438660577542691</v>
      </c>
      <c r="D70" s="20">
        <v>-0.85438660577542691</v>
      </c>
      <c r="E70" s="20">
        <v>-0.85438660577542691</v>
      </c>
    </row>
    <row r="71" spans="1:5" ht="15" x14ac:dyDescent="0.25">
      <c r="A71" s="1" t="s">
        <v>172</v>
      </c>
      <c r="B71" s="20">
        <v>-0.2236528821009621</v>
      </c>
      <c r="C71" s="20">
        <v>-0.2236528821009621</v>
      </c>
      <c r="D71" s="20">
        <v>-0.2236528821009621</v>
      </c>
      <c r="E71" s="20">
        <v>-0.2236528821009621</v>
      </c>
    </row>
    <row r="72" spans="1:5" ht="15" x14ac:dyDescent="0.25">
      <c r="A72" s="1" t="s">
        <v>173</v>
      </c>
      <c r="B72" s="19">
        <v>0.72643025003990203</v>
      </c>
      <c r="C72" s="19">
        <v>0.72643025003990203</v>
      </c>
      <c r="D72" s="19">
        <v>0.72643025003990203</v>
      </c>
      <c r="E72" s="19">
        <v>0.72643025003990203</v>
      </c>
    </row>
    <row r="73" spans="1:5" ht="15" x14ac:dyDescent="0.25">
      <c r="A73" s="1" t="s">
        <v>174</v>
      </c>
      <c r="B73" s="19">
        <v>0.18012897946831288</v>
      </c>
      <c r="C73" s="19">
        <v>0.18012897946831288</v>
      </c>
      <c r="D73" s="19">
        <v>0.18012897946831288</v>
      </c>
      <c r="E73" s="19">
        <v>0.18012897946831288</v>
      </c>
    </row>
    <row r="74" spans="1:5" ht="15" x14ac:dyDescent="0.25">
      <c r="A74" s="1" t="s">
        <v>175</v>
      </c>
      <c r="B74" s="19">
        <v>-0.7858175529004563</v>
      </c>
      <c r="C74" s="19">
        <v>-0.7858175529004563</v>
      </c>
      <c r="D74" s="19">
        <v>-0.7858175529004563</v>
      </c>
      <c r="E74" s="19">
        <v>-0.7858175529004563</v>
      </c>
    </row>
    <row r="75" spans="1:5" ht="15" x14ac:dyDescent="0.25">
      <c r="A75" s="1" t="s">
        <v>176</v>
      </c>
      <c r="B75" s="19">
        <v>-1.0733018209801155</v>
      </c>
      <c r="C75" s="19">
        <v>-1.0733018209801155</v>
      </c>
      <c r="D75" s="19">
        <v>-1.0733018209801155</v>
      </c>
      <c r="E75" s="19">
        <v>-1.0733018209801155</v>
      </c>
    </row>
  </sheetData>
  <sheetProtection algorithmName="SHA-512" hashValue="3Ul45daKWl8S1ub7azACeFeBicUxmAkCNuyLJjSmwKTIHQV7Ki+VtM0JihGtwDvKuaCzcECbpvXFs33nJcJ6EA==" saltValue="2gpb/Cqlq6toZ9AgEWggFQ==" spinCount="100000" sheet="1" objects="1" scenarios="1"/>
  <pageMargins left="0.7" right="0.7" top="0.75" bottom="0.75" header="0.3" footer="0.3"/>
  <pageSetup paperSize="9" orientation="portrait" horizontalDpi="204" verticalDpi="196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O24"/>
  <sheetViews>
    <sheetView workbookViewId="0">
      <selection activeCell="A3" sqref="A3"/>
    </sheetView>
  </sheetViews>
  <sheetFormatPr defaultRowHeight="15" x14ac:dyDescent="0.25"/>
  <cols>
    <col min="1" max="1" width="14.85546875" bestFit="1" customWidth="1"/>
    <col min="2" max="2" width="11.28515625" bestFit="1" customWidth="1"/>
    <col min="3" max="3" width="12" bestFit="1" customWidth="1"/>
    <col min="4" max="4" width="11.7109375" bestFit="1" customWidth="1"/>
    <col min="5" max="5" width="9.85546875" bestFit="1" customWidth="1"/>
    <col min="12" max="12" width="14.28515625" bestFit="1" customWidth="1"/>
    <col min="14" max="15" width="10.7109375" bestFit="1" customWidth="1"/>
  </cols>
  <sheetData>
    <row r="1" spans="1:15" x14ac:dyDescent="0.25">
      <c r="A1" t="s">
        <v>267</v>
      </c>
      <c r="B1" t="s">
        <v>273</v>
      </c>
      <c r="C1" t="s">
        <v>268</v>
      </c>
      <c r="D1" t="s">
        <v>269</v>
      </c>
      <c r="E1" t="s">
        <v>270</v>
      </c>
      <c r="G1" t="s">
        <v>275</v>
      </c>
      <c r="N1" s="24"/>
      <c r="O1" s="24"/>
    </row>
    <row r="2" spans="1:15" x14ac:dyDescent="0.25">
      <c r="A2" t="s">
        <v>274</v>
      </c>
      <c r="B2">
        <f>E2</f>
        <v>-4.3899999999999997</v>
      </c>
      <c r="E2">
        <v>-4.3899999999999997</v>
      </c>
      <c r="G2" s="27">
        <f>-E2*$E$21+E22</f>
        <v>266.66862459005097</v>
      </c>
      <c r="N2" s="32"/>
      <c r="O2" s="32"/>
    </row>
    <row r="3" spans="1:15" x14ac:dyDescent="0.25">
      <c r="A3" t="s">
        <v>169</v>
      </c>
      <c r="B3">
        <v>0</v>
      </c>
      <c r="C3">
        <v>-0.2236528821009621</v>
      </c>
      <c r="D3">
        <v>-0.4</v>
      </c>
      <c r="E3">
        <f>C3*D3</f>
        <v>8.9461152840384847E-2</v>
      </c>
      <c r="G3" s="27">
        <f>-E3*$E$21</f>
        <v>-2.5813032311006565</v>
      </c>
      <c r="N3" s="32"/>
      <c r="O3" s="32"/>
    </row>
    <row r="4" spans="1:15" x14ac:dyDescent="0.25">
      <c r="A4" t="s">
        <v>157</v>
      </c>
      <c r="B4">
        <v>999.99</v>
      </c>
      <c r="C4">
        <v>-0.50346279264060656</v>
      </c>
      <c r="D4">
        <v>-0.36</v>
      </c>
      <c r="E4">
        <f t="shared" ref="E4:E15" si="0">C4*D4</f>
        <v>0.18124660535061834</v>
      </c>
      <c r="G4" s="27">
        <f t="shared" ref="G4:G15" si="1">-E4*$E$21</f>
        <v>-5.2296715743459234</v>
      </c>
      <c r="N4" s="32"/>
      <c r="O4" s="32"/>
    </row>
    <row r="5" spans="1:15" x14ac:dyDescent="0.25">
      <c r="A5" t="s">
        <v>185</v>
      </c>
      <c r="B5">
        <v>999.99</v>
      </c>
      <c r="C5">
        <v>0.2786453400450048</v>
      </c>
      <c r="D5">
        <v>-0.66</v>
      </c>
      <c r="E5">
        <f t="shared" si="0"/>
        <v>-0.18390592442970319</v>
      </c>
      <c r="G5" s="27">
        <f t="shared" si="1"/>
        <v>5.3064033032966655</v>
      </c>
      <c r="N5" s="32"/>
      <c r="O5" s="32"/>
    </row>
    <row r="6" spans="1:15" x14ac:dyDescent="0.25">
      <c r="A6" t="s">
        <v>149</v>
      </c>
      <c r="B6">
        <v>999.99</v>
      </c>
      <c r="C6">
        <v>-0.29812186375662181</v>
      </c>
      <c r="D6">
        <v>-0.41</v>
      </c>
      <c r="E6">
        <f t="shared" si="0"/>
        <v>0.12222996414021493</v>
      </c>
      <c r="G6" s="27">
        <f t="shared" si="1"/>
        <v>-3.5268112622624783</v>
      </c>
      <c r="N6" s="32"/>
      <c r="O6" s="32"/>
    </row>
    <row r="7" spans="1:15" x14ac:dyDescent="0.25">
      <c r="A7" t="s">
        <v>158</v>
      </c>
      <c r="B7">
        <v>999.99</v>
      </c>
      <c r="C7">
        <v>0.22544512410224335</v>
      </c>
      <c r="D7">
        <v>-0.63</v>
      </c>
      <c r="E7">
        <f t="shared" si="0"/>
        <v>-0.1420304281844133</v>
      </c>
      <c r="G7" s="27">
        <f t="shared" si="1"/>
        <v>4.0981318879397826</v>
      </c>
      <c r="N7" s="32"/>
      <c r="O7" s="32"/>
    </row>
    <row r="8" spans="1:15" x14ac:dyDescent="0.25">
      <c r="A8" t="s">
        <v>159</v>
      </c>
      <c r="B8">
        <v>0.84700447619850683</v>
      </c>
      <c r="C8">
        <v>-0.14676253256663405</v>
      </c>
      <c r="D8">
        <v>-0.16</v>
      </c>
      <c r="E8">
        <f t="shared" si="0"/>
        <v>2.3482005210661447E-2</v>
      </c>
      <c r="G8" s="27">
        <f t="shared" si="1"/>
        <v>-0.67754744935100142</v>
      </c>
      <c r="N8" s="32"/>
      <c r="O8" s="32"/>
    </row>
    <row r="9" spans="1:15" x14ac:dyDescent="0.25">
      <c r="A9" t="s">
        <v>160</v>
      </c>
      <c r="B9">
        <v>999.99</v>
      </c>
      <c r="C9">
        <v>-0.67495710026650768</v>
      </c>
      <c r="D9">
        <v>-0.61</v>
      </c>
      <c r="E9">
        <f t="shared" si="0"/>
        <v>0.41172383116256966</v>
      </c>
      <c r="G9" s="27">
        <f t="shared" si="1"/>
        <v>-11.879838588680883</v>
      </c>
      <c r="N9" s="32"/>
      <c r="O9" s="32"/>
    </row>
    <row r="10" spans="1:15" x14ac:dyDescent="0.25">
      <c r="A10" t="s">
        <v>161</v>
      </c>
      <c r="B10">
        <v>999.99</v>
      </c>
      <c r="C10">
        <v>1.1563011744035327</v>
      </c>
      <c r="D10">
        <v>-0.53</v>
      </c>
      <c r="E10">
        <f t="shared" si="0"/>
        <v>-0.61283962243387236</v>
      </c>
      <c r="G10" s="27">
        <f t="shared" si="1"/>
        <v>17.682813682912247</v>
      </c>
      <c r="N10" s="32"/>
      <c r="O10" s="32"/>
    </row>
    <row r="11" spans="1:15" x14ac:dyDescent="0.25">
      <c r="A11" t="s">
        <v>162</v>
      </c>
      <c r="B11">
        <v>999.99</v>
      </c>
      <c r="C11">
        <v>-0.58039851764149486</v>
      </c>
      <c r="D11">
        <v>-0.38</v>
      </c>
      <c r="E11">
        <f t="shared" si="0"/>
        <v>0.22055143670376806</v>
      </c>
      <c r="G11" s="27">
        <f t="shared" si="1"/>
        <v>-6.3637692798692465</v>
      </c>
      <c r="N11" s="32"/>
      <c r="O11" s="32"/>
    </row>
    <row r="12" spans="1:15" x14ac:dyDescent="0.25">
      <c r="A12" t="s">
        <v>150</v>
      </c>
      <c r="B12">
        <v>999.99</v>
      </c>
      <c r="C12">
        <v>-8.3504070120810403E-2</v>
      </c>
      <c r="E12">
        <f t="shared" si="0"/>
        <v>0</v>
      </c>
      <c r="G12" s="27">
        <f t="shared" si="1"/>
        <v>0</v>
      </c>
      <c r="N12" s="32"/>
      <c r="O12" s="32"/>
    </row>
    <row r="13" spans="1:15" x14ac:dyDescent="0.25">
      <c r="A13" t="s">
        <v>163</v>
      </c>
      <c r="B13">
        <v>999.99</v>
      </c>
      <c r="C13">
        <v>-0.27779079497303821</v>
      </c>
      <c r="D13">
        <v>-0.49</v>
      </c>
      <c r="E13">
        <f t="shared" si="0"/>
        <v>0.13611748953678873</v>
      </c>
      <c r="G13" s="27">
        <f t="shared" si="1"/>
        <v>-3.9275205426596096</v>
      </c>
      <c r="N13" s="32"/>
      <c r="O13" s="32"/>
    </row>
    <row r="14" spans="1:15" x14ac:dyDescent="0.25">
      <c r="A14" t="s">
        <v>164</v>
      </c>
      <c r="B14">
        <v>13</v>
      </c>
      <c r="C14">
        <v>0.18012897946831288</v>
      </c>
      <c r="D14">
        <v>-0.87</v>
      </c>
      <c r="E14">
        <f t="shared" si="0"/>
        <v>-0.15671221213743219</v>
      </c>
      <c r="G14" s="27">
        <f t="shared" si="1"/>
        <v>4.5217586259482534</v>
      </c>
      <c r="N14" s="32"/>
      <c r="O14" s="32"/>
    </row>
    <row r="15" spans="1:15" x14ac:dyDescent="0.25">
      <c r="A15" t="s">
        <v>165</v>
      </c>
      <c r="B15">
        <v>999.99</v>
      </c>
      <c r="C15">
        <v>5.7490256278021672E-2</v>
      </c>
      <c r="E15">
        <f t="shared" si="0"/>
        <v>0</v>
      </c>
      <c r="G15" s="27">
        <f t="shared" si="1"/>
        <v>0</v>
      </c>
      <c r="N15" s="32"/>
    </row>
    <row r="17" spans="4:9" x14ac:dyDescent="0.25">
      <c r="E17">
        <f>SUM(E3:E15)</f>
        <v>8.9324297759585003E-2</v>
      </c>
      <c r="H17" s="29" t="s">
        <v>276</v>
      </c>
      <c r="I17" s="29" t="s">
        <v>277</v>
      </c>
    </row>
    <row r="18" spans="4:9" x14ac:dyDescent="0.25">
      <c r="H18" s="30">
        <f>SUMIF($G$3:$G$15,"&gt;0")</f>
        <v>31.609107500096947</v>
      </c>
      <c r="I18" s="31">
        <f>SUMIF($G$3:$G$15,"&lt;0")</f>
        <v>-34.1864619282698</v>
      </c>
    </row>
    <row r="20" spans="4:9" x14ac:dyDescent="0.25">
      <c r="D20" t="s">
        <v>270</v>
      </c>
      <c r="E20">
        <f>E2+E17</f>
        <v>-4.3006757022404143</v>
      </c>
      <c r="G20" s="28">
        <f>G2+SUM(G3:G15)</f>
        <v>264.09127016187813</v>
      </c>
    </row>
    <row r="21" spans="4:9" x14ac:dyDescent="0.25">
      <c r="D21" t="s">
        <v>271</v>
      </c>
      <c r="E21" s="27">
        <f>20 / LN(2)</f>
        <v>28.85390081777927</v>
      </c>
    </row>
    <row r="22" spans="4:9" x14ac:dyDescent="0.25">
      <c r="D22" t="s">
        <v>272</v>
      </c>
      <c r="E22">
        <f>200 - E21 * LN(8)</f>
        <v>140</v>
      </c>
    </row>
    <row r="24" spans="4:9" x14ac:dyDescent="0.25">
      <c r="D24" t="s">
        <v>278</v>
      </c>
      <c r="E24" s="27">
        <f>E22 - E21 * E20</f>
        <v>264.09127016187813</v>
      </c>
      <c r="G24" s="28">
        <f>G20</f>
        <v>264.09127016187813</v>
      </c>
    </row>
  </sheetData>
  <conditionalFormatting sqref="G2:G1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529F8C-5D43-49F6-AAE4-DC6187CB735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68</vt:i4>
      </vt:variant>
    </vt:vector>
  </HeadingPairs>
  <TitlesOfParts>
    <vt:vector size="87" baseType="lpstr">
      <vt:lpstr>LP-CAM</vt:lpstr>
      <vt:lpstr>Business Profile</vt:lpstr>
      <vt:lpstr>CA-Check</vt:lpstr>
      <vt:lpstr>Suit-Check</vt:lpstr>
      <vt:lpstr>ROC-Check</vt:lpstr>
      <vt:lpstr>GST-Check</vt:lpstr>
      <vt:lpstr>KYC-Check</vt:lpstr>
      <vt:lpstr>Banking-Analysis</vt:lpstr>
      <vt:lpstr>rekensheet</vt:lpstr>
      <vt:lpstr>1</vt:lpstr>
      <vt:lpstr>2</vt:lpstr>
      <vt:lpstr>3</vt:lpstr>
      <vt:lpstr>4</vt:lpstr>
      <vt:lpstr>score mapping</vt:lpstr>
      <vt:lpstr>weights</vt:lpstr>
      <vt:lpstr>drop-off tables</vt:lpstr>
      <vt:lpstr>cutoffs</vt:lpstr>
      <vt:lpstr>scores</vt:lpstr>
      <vt:lpstr>points_break_down</vt:lpstr>
      <vt:lpstr>Amount</vt:lpstr>
      <vt:lpstr>AudOp_1</vt:lpstr>
      <vt:lpstr>AudOp_2</vt:lpstr>
      <vt:lpstr>AudOp_3</vt:lpstr>
      <vt:lpstr>AudOp_4</vt:lpstr>
      <vt:lpstr>AuthCap</vt:lpstr>
      <vt:lpstr>CIN</vt:lpstr>
      <vt:lpstr>CINStatus</vt:lpstr>
      <vt:lpstr>COMNAME</vt:lpstr>
      <vt:lpstr>Criteria</vt:lpstr>
      <vt:lpstr>DD_1</vt:lpstr>
      <vt:lpstr>DD_2</vt:lpstr>
      <vt:lpstr>DD_3</vt:lpstr>
      <vt:lpstr>DD_4</vt:lpstr>
      <vt:lpstr>debtor_days</vt:lpstr>
      <vt:lpstr>Gearing_1</vt:lpstr>
      <vt:lpstr>Gearing_2</vt:lpstr>
      <vt:lpstr>Gearing_3</vt:lpstr>
      <vt:lpstr>Gearing_4</vt:lpstr>
      <vt:lpstr>GSTIN</vt:lpstr>
      <vt:lpstr>GSTINStatus</vt:lpstr>
      <vt:lpstr>ICR_1</vt:lpstr>
      <vt:lpstr>ICR_2</vt:lpstr>
      <vt:lpstr>ICR_3</vt:lpstr>
      <vt:lpstr>ICR_4</vt:lpstr>
      <vt:lpstr>inputValues</vt:lpstr>
      <vt:lpstr>intercept</vt:lpstr>
      <vt:lpstr>InvDays</vt:lpstr>
      <vt:lpstr>InvDays_1</vt:lpstr>
      <vt:lpstr>InvDays_2</vt:lpstr>
      <vt:lpstr>InvDays_3</vt:lpstr>
      <vt:lpstr>InvDays_4</vt:lpstr>
      <vt:lpstr>OpMargin_1</vt:lpstr>
      <vt:lpstr>OpMargin_2</vt:lpstr>
      <vt:lpstr>OpMargin_3</vt:lpstr>
      <vt:lpstr>OpMargin_4</vt:lpstr>
      <vt:lpstr>PaidUp</vt:lpstr>
      <vt:lpstr>QuRat_1</vt:lpstr>
      <vt:lpstr>QuRat_2</vt:lpstr>
      <vt:lpstr>QuRat_3</vt:lpstr>
      <vt:lpstr>QuRat_4</vt:lpstr>
      <vt:lpstr>RegAdd</vt:lpstr>
      <vt:lpstr>ROCE_1</vt:lpstr>
      <vt:lpstr>ROCE_2</vt:lpstr>
      <vt:lpstr>ROCE_3</vt:lpstr>
      <vt:lpstr>ROCE_4</vt:lpstr>
      <vt:lpstr>Sales_1</vt:lpstr>
      <vt:lpstr>Sales_2</vt:lpstr>
      <vt:lpstr>Sales_3</vt:lpstr>
      <vt:lpstr>Sales_4</vt:lpstr>
      <vt:lpstr>Segment</vt:lpstr>
      <vt:lpstr>Solvency_1</vt:lpstr>
      <vt:lpstr>Solvency_2</vt:lpstr>
      <vt:lpstr>Solvency_3</vt:lpstr>
      <vt:lpstr>Solvency_4</vt:lpstr>
      <vt:lpstr>StatAge_1</vt:lpstr>
      <vt:lpstr>StatAge_2</vt:lpstr>
      <vt:lpstr>StatAge_3</vt:lpstr>
      <vt:lpstr>StatAge_4</vt:lpstr>
      <vt:lpstr>Turn_1</vt:lpstr>
      <vt:lpstr>Turn_2</vt:lpstr>
      <vt:lpstr>Turn_3</vt:lpstr>
      <vt:lpstr>Turn_4</vt:lpstr>
      <vt:lpstr>weights</vt:lpstr>
      <vt:lpstr>YearsBus_1</vt:lpstr>
      <vt:lpstr>YearsBus_2</vt:lpstr>
      <vt:lpstr>YearsBus_3</vt:lpstr>
      <vt:lpstr>YearsBus_4</vt:lpstr>
    </vt:vector>
  </TitlesOfParts>
  <Company>LeasePlan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Nelli Gofman</dc:creator>
  <cp:lastModifiedBy>Namastecredit</cp:lastModifiedBy>
  <cp:lastPrinted>2019-05-08T05:36:58Z</cp:lastPrinted>
  <dcterms:created xsi:type="dcterms:W3CDTF">2011-10-21T09:55:29Z</dcterms:created>
  <dcterms:modified xsi:type="dcterms:W3CDTF">2019-10-24T06:08:37Z</dcterms:modified>
</cp:coreProperties>
</file>