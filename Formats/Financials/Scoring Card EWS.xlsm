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y Documents\Macros\Formats\Financials\"/>
    </mc:Choice>
  </mc:AlternateContent>
  <xr:revisionPtr revIDLastSave="0" documentId="13_ncr:1_{77E8FE71-E230-450D-A2EB-938A1F471E9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N13" i="1" l="1" a="1"/>
  <c r="DN13" i="1" s="1"/>
  <c r="DG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<sst xmlns="http://schemas.openxmlformats.org/spreadsheetml/2006/main" count="3" uniqueCount="3">
  <si>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Early Warning System Scorecard</t>
  </si>
  <si>
    <t xml:space="preserve">Overall Status Risk: </t>
  </si>
  <si>
    <t xml:space="preserve">Overall Score: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</si>
</sst>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'\'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1"/>
      <color theme="1"/>
      <name val="Tahoma"/>
      <family val="2"/>
    </font>
    <font>
      <b/>
      <sz val="11"/>
      <color rgb="FF0070C0"/>
      <name val="Cambria"/>
      <family val="1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2" fillId="0" borderId="0" xfId="0" applyNumberFormat="1" applyFont="1"/>
    <xf numFmtId="164" fontId="3" fillId="0" borderId="0" xfId="0" applyNumberFormat="1" applyFont="1"/>
    <xf numFmtId="164" fontId="1" fillId="0" borderId="0" xfId="0" applyNumberFormat="1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165" fontId="7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ont>
        <b/>
        <i val="0"/>
        <color rgb="FF6EEB19"/>
      </font>
    </dxf>
    <dxf>
      <font>
        <color rgb="FFFF9900"/>
      </font>
    </dxf>
    <dxf>
      <font>
        <color rgb="FFFF0000"/>
      </font>
    </dxf>
    <dxf>
      <font>
        <color rgb="FFFF0000"/>
      </font>
    </dxf>
    <dxf>
      <font>
        <color rgb="FFFF9900"/>
      </font>
    </dxf>
    <dxf>
      <font>
        <b/>
        <i val="0"/>
        <color rgb="FF6EEB19"/>
      </font>
    </dxf>
  </dxfs>
  <tableStyles count="0" defaultTableStyle="TableStyleMedium2" defaultPivotStyle="PivotStyleLight16"/>
  <colors>
    <mruColors>
      <color rgb="FF6EEB19"/>
      <color rgb="FFFF9900"/>
      <color rgb="FF0032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103</xdr:col>
      <xdr:colOff>57149</xdr:colOff>
      <xdr:row>6</xdr:row>
      <xdr:rowOff>190499</xdr:rowOff>
    </xdr:from>
    <xdr:to>
      <xdr:col>105</xdr:col>
      <xdr:colOff>180974</xdr:colOff>
      <xdr:row>8</xdr:row>
      <xdr:rowOff>8000</xdr:rowOff>
    </xdr:to>
    <xdr:sp macro="" textlink="">
      <xdr:nvSpPr>
        <xdr:cNvPr id="1044" name="Flowchart: Delay 1043">
          <a:extLst>
            <a:ext uri="{FF2B5EF4-FFF2-40B4-BE49-F238E27FC236}">
              <a16:creationId xmlns:a16="http://schemas.microsoft.com/office/drawing/2014/main" id="{8B2BDEA4-3884-4130-91D9-65218B7B14FC}"/>
            </a:ext>
          </a:extLst>
        </xdr:cNvPr>
        <xdr:cNvSpPr/>
      </xdr:nvSpPr>
      <xdr:spPr>
        <a:xfrm>
          <a:off x="7600949" y="1419224"/>
          <a:ext cx="238125" cy="265176"/>
        </a:xfrm>
        <a:prstGeom prst="flowChartDelay">
          <a:avLst/>
        </a:prstGeom>
        <a:solidFill>
          <a:srgbClr val="00B050"/>
        </a:solidFill>
        <a:ln>
          <a:solidFill>
            <a:schemeClr val="accent1">
              <a:shade val="15000"/>
              <a:alpha val="0"/>
            </a:schemeClr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514349</xdr:colOff>
      <xdr:row>6</xdr:row>
      <xdr:rowOff>182499</xdr:rowOff>
    </xdr:from>
    <xdr:to>
      <xdr:col>4</xdr:col>
      <xdr:colOff>19049</xdr:colOff>
      <xdr:row>8</xdr:row>
      <xdr:rowOff>0</xdr:rowOff>
    </xdr:to>
    <xdr:sp macro="" textlink="">
      <xdr:nvSpPr>
        <xdr:cNvPr id="44" name="Flowchart: Delay 43">
          <a:extLst>
            <a:ext uri="{FF2B5EF4-FFF2-40B4-BE49-F238E27FC236}">
              <a16:creationId xmlns:a16="http://schemas.microsoft.com/office/drawing/2014/main" id="{3E744D29-FAB3-4412-8D7C-7F52116D040A}"/>
            </a:ext>
          </a:extLst>
        </xdr:cNvPr>
        <xdr:cNvSpPr/>
      </xdr:nvSpPr>
      <xdr:spPr>
        <a:xfrm rot="10800000">
          <a:off x="1733549" y="1411224"/>
          <a:ext cx="171450" cy="265176"/>
        </a:xfrm>
        <a:prstGeom prst="flowChartDelay">
          <a:avLst/>
        </a:prstGeom>
        <a:solidFill>
          <a:srgbClr val="FF0000"/>
        </a:solidFill>
        <a:ln>
          <a:solidFill>
            <a:schemeClr val="accent1">
              <a:shade val="15000"/>
              <a:alpha val="0"/>
            </a:schemeClr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20</xdr:col>
      <xdr:colOff>19336</xdr:colOff>
      <xdr:row>6</xdr:row>
      <xdr:rowOff>123825</xdr:rowOff>
    </xdr:from>
    <xdr:to>
      <xdr:col>26</xdr:col>
      <xdr:colOff>42196</xdr:colOff>
      <xdr:row>8</xdr:row>
      <xdr:rowOff>41910</xdr:rowOff>
    </xdr:to>
    <xdr:grpSp>
      <xdr:nvGrpSpPr>
        <xdr:cNvPr id="1028" name="Group 1027">
          <a:extLst>
            <a:ext uri="{FF2B5EF4-FFF2-40B4-BE49-F238E27FC236}">
              <a16:creationId xmlns:a16="http://schemas.microsoft.com/office/drawing/2014/main" id="{2F1B565A-8F4A-9A8D-4CB3-F492AA96584B}"/>
            </a:ext>
          </a:extLst>
        </xdr:cNvPr>
        <xdr:cNvGrpSpPr/>
      </xdr:nvGrpSpPr>
      <xdr:grpSpPr>
        <a:xfrm>
          <a:off x="2819686" y="1352550"/>
          <a:ext cx="365760" cy="365760"/>
          <a:chOff x="6124575" y="2686050"/>
          <a:chExt cx="390525" cy="400050"/>
        </a:xfrm>
      </xdr:grpSpPr>
      <xdr:sp macro="" textlink="">
        <xdr:nvSpPr>
          <xdr:cNvPr id="1027" name="Flowchart: Connector 1026">
            <a:extLst>
              <a:ext uri="{FF2B5EF4-FFF2-40B4-BE49-F238E27FC236}">
                <a16:creationId xmlns:a16="http://schemas.microsoft.com/office/drawing/2014/main" id="{3F592B83-730E-E88A-E981-76A704180D4B}"/>
              </a:ext>
            </a:extLst>
          </xdr:cNvPr>
          <xdr:cNvSpPr/>
        </xdr:nvSpPr>
        <xdr:spPr>
          <a:xfrm>
            <a:off x="6124575" y="2686050"/>
            <a:ext cx="390525" cy="400050"/>
          </a:xfrm>
          <a:prstGeom prst="flowChartConnector">
            <a:avLst/>
          </a:prstGeom>
          <a:solidFill>
            <a:schemeClr val="tx1">
              <a:lumMod val="75000"/>
              <a:lumOff val="25000"/>
              <a:alpha val="97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" name="Flowchart: Connector 62">
            <a:extLst>
              <a:ext uri="{FF2B5EF4-FFF2-40B4-BE49-F238E27FC236}">
                <a16:creationId xmlns:a16="http://schemas.microsoft.com/office/drawing/2014/main" id="{0287A39B-CC7D-ECB9-C8E2-E9598F6A3D82}"/>
              </a:ext>
            </a:extLst>
          </xdr:cNvPr>
          <xdr:cNvSpPr/>
        </xdr:nvSpPr>
        <xdr:spPr>
          <a:xfrm>
            <a:off x="6200775" y="2762250"/>
            <a:ext cx="247650" cy="247650"/>
          </a:xfrm>
          <a:prstGeom prst="flowChartConnector">
            <a:avLst/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108</xdr:col>
      <xdr:colOff>180975</xdr:colOff>
      <xdr:row>12</xdr:row>
      <xdr:rowOff>9525</xdr:rowOff>
    </xdr:from>
    <xdr:to>
      <xdr:col>118</xdr:col>
      <xdr:colOff>581024</xdr:colOff>
      <xdr:row>13</xdr:row>
      <xdr:rowOff>85725</xdr:rowOff>
    </xdr:to>
    <xdr:sp macro="" textlink="">
      <xdr:nvSpPr>
        <xdr:cNvPr id="1031" name="Rectangle: Rounded Corners 1030">
          <a:extLst>
            <a:ext uri="{FF2B5EF4-FFF2-40B4-BE49-F238E27FC236}">
              <a16:creationId xmlns:a16="http://schemas.microsoft.com/office/drawing/2014/main" id="{05161DBA-099C-62EE-FF44-E01059FBBB21}"/>
            </a:ext>
          </a:extLst>
        </xdr:cNvPr>
        <xdr:cNvSpPr/>
      </xdr:nvSpPr>
      <xdr:spPr>
        <a:xfrm>
          <a:off x="9172575" y="2476500"/>
          <a:ext cx="5876924" cy="266700"/>
        </a:xfrm>
        <a:prstGeom prst="roundRect">
          <a:avLst/>
        </a:prstGeom>
        <a:solidFill>
          <a:schemeClr val="bg2">
            <a:lumMod val="50000"/>
            <a:alpha val="10000"/>
          </a:schemeClr>
        </a:solidFill>
        <a:ln>
          <a:noFill/>
        </a:ln>
        <a:effectLst>
          <a:outerShdw blurRad="50800" dist="50800" dir="5400000" sx="1000" sy="1000" algn="ctr" rotWithShape="0">
            <a:schemeClr val="bg1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107</xdr:col>
      <xdr:colOff>0</xdr:colOff>
      <xdr:row>8</xdr:row>
      <xdr:rowOff>0</xdr:rowOff>
    </xdr:from>
    <xdr:to>
      <xdr:col>118</xdr:col>
      <xdr:colOff>942975</xdr:colOff>
      <xdr:row>11</xdr:row>
      <xdr:rowOff>76200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CBF54FF9-2BF9-B06D-109D-120BE5C17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0" y="1676400"/>
          <a:ext cx="68389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DO16"/>
  <sheetViews>
    <sheetView showGridLines="0" tabSelected="1" topLeftCell="A4" workbookViewId="0">
      <selection activeCell="A8" sqref="A8"/>
    </sheetView>
  </sheetViews>
  <sheetFormatPr defaultRowHeight="15" x14ac:dyDescent="0.25"/>
  <cols>
    <col min="4" max="105" width="0.85546875" customWidth="1"/>
    <col min="106" max="106" width="5.85546875" customWidth="1"/>
    <col min="107" max="107" width="7.85546875" customWidth="1"/>
    <col min="108" max="108" width="6.28515625" customWidth="1"/>
    <col min="115" max="115" width="8" customWidth="1"/>
    <col min="116" max="116" width="3.7109375" customWidth="1"/>
    <col min="118" max="118" width="6.42578125" customWidth="1"/>
    <col min="119" max="119" width="16" customWidth="1"/>
  </cols>
  <sheetData>
    <row r="6" spans="1:119" ht="21.75" customHeight="1" x14ac:dyDescent="0.25"/>
    <row r="7" spans="1:119" ht="15" customHeight="1" x14ac:dyDescent="0.25">
      <c r="DF7" s="6"/>
    </row>
    <row r="8" spans="1:119" ht="20.25" customHeight="1" x14ac:dyDescent="0.25">
      <c r="A8">
        <v>19.166666666666664</v>
      </c>
      <c r="D8" s="1">
        <v>0</v>
      </c>
      <c r="E8" s="1">
        <v>1</v>
      </c>
      <c r="F8" s="1">
        <v>2</v>
      </c>
      <c r="G8" s="1">
        <v>3</v>
      </c>
      <c r="H8" s="1">
        <v>4</v>
      </c>
      <c r="I8" s="1">
        <v>5</v>
      </c>
      <c r="J8" s="1">
        <v>6</v>
      </c>
      <c r="K8" s="1">
        <v>7</v>
      </c>
      <c r="L8" s="1">
        <v>8</v>
      </c>
      <c r="M8" s="1">
        <v>9</v>
      </c>
      <c r="N8" s="1">
        <v>10</v>
      </c>
      <c r="O8" s="1">
        <v>11</v>
      </c>
      <c r="P8" s="1">
        <v>12</v>
      </c>
      <c r="Q8" s="1">
        <v>13</v>
      </c>
      <c r="R8" s="1">
        <v>14</v>
      </c>
      <c r="S8" s="1">
        <v>15</v>
      </c>
      <c r="T8" s="1">
        <v>16</v>
      </c>
      <c r="U8" s="1">
        <v>17</v>
      </c>
      <c r="V8" s="1">
        <v>18</v>
      </c>
      <c r="W8" s="1">
        <v>19</v>
      </c>
      <c r="X8" s="1">
        <v>20</v>
      </c>
      <c r="Y8" s="1">
        <v>21</v>
      </c>
      <c r="Z8" s="1">
        <v>22</v>
      </c>
      <c r="AA8" s="1">
        <v>23</v>
      </c>
      <c r="AB8" s="1">
        <v>24</v>
      </c>
      <c r="AC8" s="1">
        <v>25</v>
      </c>
      <c r="AD8" s="1">
        <v>26</v>
      </c>
      <c r="AE8" s="1">
        <v>27</v>
      </c>
      <c r="AF8" s="1">
        <v>28</v>
      </c>
      <c r="AG8" s="1">
        <v>29</v>
      </c>
      <c r="AH8" s="1">
        <v>30</v>
      </c>
      <c r="AI8" s="1">
        <v>31</v>
      </c>
      <c r="AJ8" s="1">
        <v>32</v>
      </c>
      <c r="AK8" s="1">
        <v>33</v>
      </c>
      <c r="AL8" s="1">
        <v>34</v>
      </c>
      <c r="AM8" s="1">
        <v>35</v>
      </c>
      <c r="AN8" s="1">
        <v>36</v>
      </c>
      <c r="AO8" s="1">
        <v>37</v>
      </c>
      <c r="AP8" s="2">
        <v>38</v>
      </c>
      <c r="AQ8" s="2">
        <v>39</v>
      </c>
      <c r="AR8" s="2">
        <v>40</v>
      </c>
      <c r="AS8" s="2">
        <v>41</v>
      </c>
      <c r="AT8" s="2">
        <v>42</v>
      </c>
      <c r="AU8" s="2">
        <v>43</v>
      </c>
      <c r="AV8" s="2">
        <v>44</v>
      </c>
      <c r="AW8" s="2">
        <v>45</v>
      </c>
      <c r="AX8" s="2">
        <v>46</v>
      </c>
      <c r="AY8" s="2">
        <v>47</v>
      </c>
      <c r="AZ8" s="2">
        <v>48</v>
      </c>
      <c r="BA8" s="2">
        <v>49</v>
      </c>
      <c r="BB8" s="2">
        <v>50</v>
      </c>
      <c r="BC8" s="2">
        <v>51</v>
      </c>
      <c r="BD8" s="2">
        <v>52</v>
      </c>
      <c r="BE8" s="2">
        <v>53</v>
      </c>
      <c r="BF8" s="2">
        <v>54</v>
      </c>
      <c r="BG8" s="2">
        <v>55</v>
      </c>
      <c r="BH8" s="2">
        <v>56</v>
      </c>
      <c r="BI8" s="2">
        <v>57</v>
      </c>
      <c r="BJ8" s="2">
        <v>58</v>
      </c>
      <c r="BK8" s="2">
        <v>59</v>
      </c>
      <c r="BL8" s="2">
        <v>60</v>
      </c>
      <c r="BM8" s="2">
        <v>61</v>
      </c>
      <c r="BN8" s="2">
        <v>62</v>
      </c>
      <c r="BO8" s="2">
        <v>63</v>
      </c>
      <c r="BP8" s="2">
        <v>64</v>
      </c>
      <c r="BQ8" s="2">
        <v>65</v>
      </c>
      <c r="BR8" s="2">
        <v>66</v>
      </c>
      <c r="BS8" s="2">
        <v>67</v>
      </c>
      <c r="BT8" s="2">
        <v>68</v>
      </c>
      <c r="BU8" s="2">
        <v>69</v>
      </c>
      <c r="BV8" s="2">
        <v>70</v>
      </c>
      <c r="BW8" s="3">
        <v>71</v>
      </c>
      <c r="BX8" s="3">
        <v>72</v>
      </c>
      <c r="BY8" s="3">
        <v>73</v>
      </c>
      <c r="BZ8" s="3">
        <v>74</v>
      </c>
      <c r="CA8" s="3">
        <v>75</v>
      </c>
      <c r="CB8" s="3">
        <v>76</v>
      </c>
      <c r="CC8" s="3">
        <v>77</v>
      </c>
      <c r="CD8" s="3">
        <v>78</v>
      </c>
      <c r="CE8" s="3">
        <v>79</v>
      </c>
      <c r="CF8" s="3">
        <v>80</v>
      </c>
      <c r="CG8" s="3">
        <v>81</v>
      </c>
      <c r="CH8" s="3">
        <v>82</v>
      </c>
      <c r="CI8" s="3">
        <v>83</v>
      </c>
      <c r="CJ8" s="3">
        <v>84</v>
      </c>
      <c r="CK8" s="3">
        <v>85</v>
      </c>
      <c r="CL8" s="3">
        <v>86</v>
      </c>
      <c r="CM8" s="3">
        <v>87</v>
      </c>
      <c r="CN8" s="3">
        <v>88</v>
      </c>
      <c r="CO8" s="3">
        <v>89</v>
      </c>
      <c r="CP8" s="3">
        <v>90</v>
      </c>
      <c r="CQ8" s="3">
        <v>91</v>
      </c>
      <c r="CR8" s="3">
        <v>92</v>
      </c>
      <c r="CS8" s="3">
        <v>93</v>
      </c>
      <c r="CT8" s="3">
        <v>94</v>
      </c>
      <c r="CU8" s="3">
        <v>95</v>
      </c>
      <c r="CV8" s="3">
        <v>96</v>
      </c>
      <c r="CW8" s="3">
        <v>97</v>
      </c>
      <c r="CX8" s="3">
        <v>98</v>
      </c>
      <c r="CY8" s="3">
        <v>99</v>
      </c>
      <c r="CZ8" s="3">
        <v>100</v>
      </c>
      <c r="DE8" s="11" t="s">
        <v>0</v>
      </c>
      <c r="DF8" s="11"/>
      <c r="DG8" s="11"/>
      <c r="DH8" s="11"/>
    </row>
    <row r="9" spans="1:119" ht="15" customHeight="1" x14ac:dyDescent="0.25">
      <c r="D9" s="12">
        <v>0</v>
      </c>
      <c r="E9" s="12"/>
      <c r="F9" s="12"/>
      <c r="AZ9" s="12">
        <v>50</v>
      </c>
      <c r="BA9" s="12"/>
      <c r="BB9" s="12"/>
      <c r="BC9" s="12"/>
      <c r="BD9" s="12"/>
      <c r="CW9" s="12">
        <v>100</v>
      </c>
      <c r="CX9" s="12"/>
      <c r="CY9" s="12"/>
      <c r="CZ9" s="12"/>
      <c r="DA9" s="12"/>
    </row>
    <row r="10" spans="1:119" ht="15" customHeight="1" x14ac:dyDescent="0.25"/>
    <row r="11" spans="1:119" ht="15" customHeight="1" x14ac:dyDescent="0.25"/>
    <row r="12" spans="1:119" ht="17.25" x14ac:dyDescent="0.3">
      <c r="DE12" s="7"/>
      <c r="DJ12" s="4"/>
      <c r="DO12" s="4"/>
    </row>
    <row r="13" spans="1:119" ht="15" customHeight="1" x14ac:dyDescent="0.25">
      <c r="DE13" s="9" t="s">
        <v>2</v>
      </c>
      <c r="DF13" s="9"/>
      <c r="DG13" s="8">
        <f>A8</f>
        <v>19.166666666666664</v>
      </c>
      <c r="DH13" s="5"/>
      <c r="DI13" s="5"/>
      <c r="DJ13" s="9" t="s">
        <v>1</v>
      </c>
      <c r="DK13" s="9"/>
      <c r="DL13" s="9"/>
      <c r="DM13" s="9"/>
      <c r="DN13" s="10" t="str" cm="1">
        <f t="array" ref="DN13">_xlfn.IFS(A8&lt;50,"High Risk",A8&lt;=80,"Average Risk",A8&gt;80,"Low Risk")</f>
        <v>High Risk</v>
      </c>
      <c r="DO13" s="10"/>
    </row>
    <row r="14" spans="1:119" ht="15" customHeight="1" x14ac:dyDescent="0.25"/>
    <row r="15" spans="1:119" ht="15" customHeight="1" x14ac:dyDescent="0.25"/>
    <row r="16" spans="1:119" ht="15" customHeight="1" x14ac:dyDescent="0.25"/>
  </sheetData>
  <mergeCells count="7">
    <mergeCell ref="DJ13:DM13"/>
    <mergeCell ref="DN13:DO13"/>
    <mergeCell ref="DE8:DH8"/>
    <mergeCell ref="D9:F9"/>
    <mergeCell ref="AZ9:BD9"/>
    <mergeCell ref="CW9:DA9"/>
    <mergeCell ref="DE13:DF13"/>
  </mergeCells>
  <conditionalFormatting sqref="D8:CZ8">
    <cfRule type="colorScale" priority="7">
      <colorScale>
        <cfvo type="min"/>
        <cfvo type="percentile" val="50"/>
        <cfvo type="max"/>
        <color rgb="FFFF0000"/>
        <color rgb="FFFFC000"/>
        <color rgb="FF00B050"/>
      </colorScale>
    </cfRule>
  </conditionalFormatting>
  <conditionalFormatting sqref="DG13">
    <cfRule type="expression" dxfId="5" priority="4">
      <formula>$DG$13&gt;80</formula>
    </cfRule>
    <cfRule type="expression" dxfId="4" priority="5">
      <formula>AND(DG13&gt;50, DG13&lt;=80)</formula>
    </cfRule>
    <cfRule type="expression" dxfId="3" priority="6">
      <formula>$DG$13&lt;50</formula>
    </cfRule>
  </conditionalFormatting>
  <conditionalFormatting sqref="DN13">
    <cfRule type="expression" dxfId="2" priority="1">
      <formula>$DN$13="High Risk"</formula>
    </cfRule>
    <cfRule type="expression" dxfId="1" priority="2">
      <formula>$DN$13="Average Risk"</formula>
    </cfRule>
    <cfRule type="expression" dxfId="0" priority="3">
      <formula>$DN$13="Low Risk"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namaste credit</dc:creator>
  <cp:lastModifiedBy>namaste credit</cp:lastModifiedBy>
  <dcterms:created xsi:type="dcterms:W3CDTF">2023-09-28T06:42:00Z</dcterms:created>
  <dcterms:modified xsi:type="dcterms:W3CDTF">2023-11-15T13:30:06Z</dcterms:modified>
</cp:coreProperties>
</file>